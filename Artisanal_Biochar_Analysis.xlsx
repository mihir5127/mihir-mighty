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roduction Statistics" sheetId="2" state="visible" r:id="rId2"/>
    <sheet xmlns:r="http://schemas.openxmlformats.org/officeDocument/2006/relationships" name="Carbon Analysis" sheetId="3" state="visible" r:id="rId3"/>
    <sheet xmlns:r="http://schemas.openxmlformats.org/officeDocument/2006/relationships" name="Economic Feasibility" sheetId="4" state="visible" r:id="rId4"/>
    <sheet xmlns:r="http://schemas.openxmlformats.org/officeDocument/2006/relationships" name="Statistical Analysis" sheetId="5" state="visible" r:id="rId5"/>
    <sheet xmlns:r="http://schemas.openxmlformats.org/officeDocument/2006/relationships" name="Feasibility Scorecard" sheetId="6" state="visible" r:id="rId6"/>
    <sheet xmlns:r="http://schemas.openxmlformats.org/officeDocument/2006/relationships" name="Data Sources &amp; 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1"/>
    </font>
    <font>
      <b val="1"/>
      <color rgb="001F5C2E"/>
      <sz val="12"/>
    </font>
    <font>
      <name val="Calibri"/>
      <b val="1"/>
      <color rgb="00000000"/>
      <sz val="10"/>
    </font>
    <font>
      <name val="Calibri"/>
      <b val="1"/>
      <color rgb="001F5C2E"/>
      <sz val="10"/>
    </font>
    <font>
      <i val="1"/>
      <color rgb="00808080"/>
      <sz val="9"/>
    </font>
    <font>
      <name val="Calibri"/>
      <b val="1"/>
      <color rgb="00FFFFFF"/>
      <sz val="13"/>
    </font>
    <font>
      <b val="1"/>
      <color rgb="002E8B57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b val="1"/>
      <color rgb="001F497D"/>
      <sz val="11"/>
    </font>
    <font>
      <b val="1"/>
      <color rgb="00B45F06"/>
      <sz val="11"/>
    </font>
    <font>
      <b val="1"/>
      <color rgb="004A235A"/>
      <sz val="11"/>
    </font>
    <font>
      <i val="1"/>
      <color rgb="00808080"/>
      <sz val="10"/>
    </font>
    <font>
      <name val="Calibri"/>
      <b val="1"/>
      <sz val="11"/>
    </font>
    <font>
      <name val="Calibri"/>
      <b val="1"/>
      <color rgb="00000000"/>
      <sz val="11"/>
    </font>
    <font>
      <b val="1"/>
      <color rgb="001F5C2E"/>
      <sz val="11"/>
    </font>
  </fonts>
  <fills count="13">
    <fill>
      <patternFill/>
    </fill>
    <fill>
      <patternFill patternType="gray125"/>
    </fill>
    <fill>
      <patternFill patternType="solid">
        <fgColor rgb="001F5C2E"/>
      </patternFill>
    </fill>
    <fill>
      <patternFill patternType="solid">
        <fgColor rgb="002E8B57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90EE90"/>
      </patternFill>
    </fill>
    <fill>
      <patternFill patternType="solid">
        <fgColor rgb="001F497D"/>
      </patternFill>
    </fill>
    <fill>
      <patternFill patternType="solid">
        <fgColor rgb="00FFC000"/>
      </patternFill>
    </fill>
    <fill>
      <patternFill patternType="solid">
        <fgColor rgb="00B45F06"/>
      </patternFill>
    </fill>
    <fill>
      <patternFill patternType="solid">
        <fgColor rgb="004A235A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4" fillId="5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12" fillId="0" borderId="0" pivotButton="0" quotePrefix="0" xfId="0"/>
    <xf numFmtId="0" fontId="9" fillId="7" borderId="1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/>
    </xf>
    <xf numFmtId="0" fontId="13" fillId="0" borderId="0" pivotButton="0" quotePrefix="0" xfId="0"/>
    <xf numFmtId="0" fontId="9" fillId="9" borderId="1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center" vertical="center"/>
    </xf>
    <xf numFmtId="0" fontId="14" fillId="0" borderId="0" pivotButton="0" quotePrefix="0" xfId="0"/>
    <xf numFmtId="0" fontId="9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5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Global Artisanal Biochar Production ('000 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'Production Statistics'!B4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'Production Statistics'!$A$5:$A$9</f>
            </numRef>
          </cat>
          <val>
            <numRef>
              <f>'Production Statistics'!$B$5:$B$9</f>
            </numRef>
          </val>
        </ser>
        <ser>
          <idx val="1"/>
          <order val="1"/>
          <tx>
            <strRef>
              <f>'Production Statistics'!C4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'Production Statistics'!$A$5:$A$9</f>
            </numRef>
          </cat>
          <val>
            <numRef>
              <f>'Production Statistics'!$C$5:$C$9</f>
            </numRef>
          </val>
        </ser>
        <ser>
          <idx val="2"/>
          <order val="2"/>
          <tx>
            <strRef>
              <f>'Production Statistics'!D4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'Production Statistics'!$A$5:$A$9</f>
            </numRef>
          </cat>
          <val>
            <numRef>
              <f>'Production Statistics'!$D$5:$D$9</f>
            </numRef>
          </val>
        </ser>
        <ser>
          <idx val="3"/>
          <order val="3"/>
          <tx>
            <strRef>
              <f>'Production Statistics'!E4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'Production Statistics'!$A$5:$A$9</f>
            </numRef>
          </cat>
          <val>
            <numRef>
              <f>'Production Statistics'!$E$5:$E$9</f>
            </numRef>
          </val>
        </ser>
        <ser>
          <idx val="4"/>
          <order val="4"/>
          <tx>
            <strRef>
              <f>'Production Statistics'!F4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'Production Statistics'!$A$5:$A$9</f>
            </numRef>
          </cat>
          <val>
            <numRef>
              <f>'Production Statistics'!$F$5:$F$9</f>
            </numRef>
          </val>
        </ser>
        <ser>
          <idx val="5"/>
          <order val="5"/>
          <tx>
            <strRef>
              <f>'Production Statistics'!G4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'Production Statistics'!$A$5:$A$9</f>
            </numRef>
          </cat>
          <val>
            <numRef>
              <f>'Production Statistics'!$G$5:$G$9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'000 tonnes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Feedstock Share (2023)</a:t>
            </a:r>
          </a:p>
        </rich>
      </tx>
    </title>
    <plotArea>
      <pieChart>
        <varyColors val="1"/>
        <ser>
          <idx val="0"/>
          <order val="0"/>
          <tx>
            <strRef>
              <f>'Production Statistics'!B33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'Production Statistics'!$A$34:$A$40</f>
            </numRef>
          </cat>
          <val>
            <numRef>
              <f>'Production Statistics'!$B$34:$B$40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GHG Saved by Artisanal Biochar Technology (tCO₂e/t)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'Carbon Analysis'!C4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'Carbon Analysis'!$A$5:$A$11</f>
            </numRef>
          </cat>
          <val>
            <numRef>
              <f>'Carbon Analysis'!$C$5:$C$11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Technology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tCO₂e / tonne biochar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Projected CO₂e Sequestration – Artisanal Biochar (2023-2030)</a:t>
            </a:r>
          </a:p>
        </rich>
      </tx>
    </title>
    <plotArea>
      <lineChart>
        <grouping val="standard"/>
        <ser>
          <idx val="0"/>
          <order val="0"/>
          <tx>
            <strRef>
              <f>'Carbon Analysis'!B31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'Carbon Analysis'!$A$32:$A$39</f>
            </numRef>
          </cat>
          <val>
            <numRef>
              <f>'Carbon Analysis'!$B$32:$B$39</f>
            </numRef>
          </val>
        </ser>
        <ser>
          <idx val="1"/>
          <order val="1"/>
          <tx>
            <strRef>
              <f>'Carbon Analysis'!C31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'Carbon Analysis'!$A$32:$A$39</f>
            </numRef>
          </cat>
          <val>
            <numRef>
              <f>'Carbon Analysis'!$C$32:$C$39</f>
            </numRef>
          </val>
        </ser>
        <ser>
          <idx val="2"/>
          <order val="2"/>
          <tx>
            <strRef>
              <f>'Carbon Analysis'!D31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'Carbon Analysis'!$A$32:$A$39</f>
            </numRef>
          </cat>
          <val>
            <numRef>
              <f>'Carbon Analysis'!$D$32:$D$39</f>
            </numRef>
          </val>
        </ser>
        <ser>
          <idx val="3"/>
          <order val="3"/>
          <tx>
            <strRef>
              <f>'Carbon Analysis'!E31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'Carbon Analysis'!$A$32:$A$39</f>
            </numRef>
          </cat>
          <val>
            <numRef>
              <f>'Carbon Analysis'!$E$32:$E$39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Mt CO₂e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Biochar Spot Price &amp; Revenue Potential Trend (USD/t)</a:t>
            </a:r>
          </a:p>
        </rich>
      </tx>
    </title>
    <plotArea>
      <lineChart>
        <grouping val="standard"/>
        <ser>
          <idx val="0"/>
          <order val="0"/>
          <tx>
            <strRef>
              <f>'Economic Feasibility'!B24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'Economic Feasibility'!$A$25:$A$33</f>
            </numRef>
          </cat>
          <val>
            <numRef>
              <f>'Economic Feasibility'!$B$25:$B$33</f>
            </numRef>
          </val>
        </ser>
        <ser>
          <idx val="1"/>
          <order val="1"/>
          <tx>
            <strRef>
              <f>'Economic Feasibility'!C24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'Economic Feasibility'!$A$25:$A$33</f>
            </numRef>
          </cat>
          <val>
            <numRef>
              <f>'Economic Feasibility'!$C$25:$C$33</f>
            </numRef>
          </val>
        </ser>
        <ser>
          <idx val="2"/>
          <order val="2"/>
          <tx>
            <strRef>
              <f>'Economic Feasibility'!D24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'Economic Feasibility'!$A$25:$A$33</f>
            </numRef>
          </cat>
          <val>
            <numRef>
              <f>'Economic Feasibility'!$D$25:$D$33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/ tonne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Feasibility Weighted Scores by Technology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'Feasibility Scorecard'!$C$4</f>
            </numRef>
          </cat>
          <val>
            <numRef>
              <f>'Feasibility Scorecard'!$C$12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'Feasibility Scorecard'!$C$4</f>
            </numRef>
          </cat>
          <val>
            <numRef>
              <f>'Feasibility Scorecard'!$D$12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'Feasibility Scorecard'!$C$4</f>
            </numRef>
          </cat>
          <val>
            <numRef>
              <f>'Feasibility Scorecard'!$E$12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'Feasibility Scorecard'!$C$4</f>
            </numRef>
          </cat>
          <val>
            <numRef>
              <f>'Feasibility Scorecard'!$F$12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'Feasibility Scorecard'!$C$4</f>
            </numRef>
          </cat>
          <val>
            <numRef>
              <f>'Feasibility Scorecard'!$G$12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(0–10)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42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40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34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13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5" customHeight="1">
      <c r="A1" s="1" t="inlineStr">
        <is>
          <t>ARTISANAL BIOCHAR TECHNOLOGY – FEASIBILITY &amp; STATISTICAL ANALYSIS</t>
        </is>
      </c>
    </row>
    <row r="2" ht="22" customHeight="1">
      <c r="A2" s="2" t="inlineStr">
        <is>
          <t>Carbon Accounting Data Repository | Prepared: April 09, 2026</t>
        </is>
      </c>
    </row>
    <row r="3">
      <c r="A3" s="3" t="inlineStr"/>
    </row>
    <row r="4">
      <c r="A4" s="4" t="inlineStr">
        <is>
          <t>KEY PERFORMANCE INDICATORS</t>
        </is>
      </c>
    </row>
    <row r="5">
      <c r="A5" s="5" t="inlineStr">
        <is>
          <t>Global Biochar Market (2023)</t>
        </is>
      </c>
      <c r="B5" s="6" t="inlineStr">
        <is>
          <t>USD 1.85 Billion</t>
        </is>
      </c>
    </row>
    <row r="6">
      <c r="A6" s="7" t="inlineStr">
        <is>
          <t>Projected Market (2030)</t>
        </is>
      </c>
      <c r="B6" s="6" t="inlineStr">
        <is>
          <t>USD 4.27 Billion</t>
        </is>
      </c>
    </row>
    <row r="7">
      <c r="A7" s="5" t="inlineStr">
        <is>
          <t>CAGR (2024-2030)</t>
        </is>
      </c>
      <c r="B7" s="6" t="inlineStr">
        <is>
          <t>12.7 %</t>
        </is>
      </c>
    </row>
    <row r="8">
      <c r="A8" s="7" t="inlineStr">
        <is>
          <t>CO₂ Sequestration Potential</t>
        </is>
      </c>
      <c r="B8" s="6" t="inlineStr">
        <is>
          <t>2.6 Gt CO₂e / year by 2050</t>
        </is>
      </c>
    </row>
    <row r="9">
      <c r="A9" s="5" t="inlineStr">
        <is>
          <t>Typical C-content (Artisanal)</t>
        </is>
      </c>
      <c r="B9" s="6" t="inlineStr">
        <is>
          <t>55 – 80 %</t>
        </is>
      </c>
    </row>
    <row r="10">
      <c r="A10" s="7" t="inlineStr">
        <is>
          <t>Average Yield (Biomass → Biochar)</t>
        </is>
      </c>
      <c r="B10" s="6" t="inlineStr">
        <is>
          <t>25 – 35 %</t>
        </is>
      </c>
    </row>
    <row r="11">
      <c r="A11" s="5" t="inlineStr">
        <is>
          <t>Emission Reduction (vs. Open Burning)</t>
        </is>
      </c>
      <c r="B11" s="6" t="inlineStr">
        <is>
          <t>Up to 90 %</t>
        </is>
      </c>
    </row>
    <row r="12">
      <c r="A12" s="7" t="inlineStr">
        <is>
          <t>IBI Certified Projects Worldwide</t>
        </is>
      </c>
      <c r="B12" s="6" t="inlineStr">
        <is>
          <t>≈ 450+ (2023)</t>
        </is>
      </c>
    </row>
    <row r="14">
      <c r="A14" s="8" t="inlineStr">
        <is>
          <t>Data Sources: IBI (2023), World Biochar Headlines, IPCC AR6, FAO, World Bank Commodity Data, Biochar Journal 2022-2023</t>
        </is>
      </c>
    </row>
  </sheetData>
  <mergeCells count="13">
    <mergeCell ref="A4:H4"/>
    <mergeCell ref="B8:H8"/>
    <mergeCell ref="A3:H3"/>
    <mergeCell ref="B9:H9"/>
    <mergeCell ref="A2:H2"/>
    <mergeCell ref="B12:H12"/>
    <mergeCell ref="B6:H6"/>
    <mergeCell ref="A14:H14"/>
    <mergeCell ref="B7:H7"/>
    <mergeCell ref="A1:H1"/>
    <mergeCell ref="B10:H10"/>
    <mergeCell ref="B11:H1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30" customHeight="1">
      <c r="A1" s="9" t="inlineStr">
        <is>
          <t>GLOBAL ARTISANAL BIOCHAR PRODUCTION STATISTICS</t>
        </is>
      </c>
    </row>
    <row r="3">
      <c r="A3" s="10" t="inlineStr">
        <is>
          <t>A. Estimated Annual Biochar Production by Region (2023, '000 tonnes)</t>
        </is>
      </c>
    </row>
    <row r="4">
      <c r="A4" s="11" t="inlineStr">
        <is>
          <t>Region</t>
        </is>
      </c>
      <c r="B4" s="11" t="inlineStr">
        <is>
          <t>2018</t>
        </is>
      </c>
      <c r="C4" s="11" t="inlineStr">
        <is>
          <t>2019</t>
        </is>
      </c>
      <c r="D4" s="11" t="inlineStr">
        <is>
          <t>2020</t>
        </is>
      </c>
      <c r="E4" s="11" t="inlineStr">
        <is>
          <t>2021</t>
        </is>
      </c>
      <c r="F4" s="11" t="inlineStr">
        <is>
          <t>2022</t>
        </is>
      </c>
      <c r="G4" s="11" t="inlineStr">
        <is>
          <t>2023</t>
        </is>
      </c>
    </row>
    <row r="5">
      <c r="A5" s="12" t="inlineStr">
        <is>
          <t>Sub-Saharan Africa</t>
        </is>
      </c>
      <c r="B5" s="12" t="n">
        <v>42</v>
      </c>
      <c r="C5" s="12" t="n">
        <v>48</v>
      </c>
      <c r="D5" s="12" t="n">
        <v>55</v>
      </c>
      <c r="E5" s="12" t="n">
        <v>62</v>
      </c>
      <c r="F5" s="12" t="n">
        <v>71</v>
      </c>
      <c r="G5" s="12" t="n">
        <v>83</v>
      </c>
    </row>
    <row r="6">
      <c r="A6" s="13" t="inlineStr">
        <is>
          <t>South &amp; SE Asia</t>
        </is>
      </c>
      <c r="B6" s="13" t="n">
        <v>68</v>
      </c>
      <c r="C6" s="13" t="n">
        <v>78</v>
      </c>
      <c r="D6" s="13" t="n">
        <v>91</v>
      </c>
      <c r="E6" s="13" t="n">
        <v>105</v>
      </c>
      <c r="F6" s="13" t="n">
        <v>122</v>
      </c>
      <c r="G6" s="13" t="n">
        <v>140</v>
      </c>
    </row>
    <row r="7">
      <c r="A7" s="12" t="inlineStr">
        <is>
          <t>Latin America</t>
        </is>
      </c>
      <c r="B7" s="12" t="n">
        <v>29</v>
      </c>
      <c r="C7" s="12" t="n">
        <v>34</v>
      </c>
      <c r="D7" s="12" t="n">
        <v>40</v>
      </c>
      <c r="E7" s="12" t="n">
        <v>47</v>
      </c>
      <c r="F7" s="12" t="n">
        <v>55</v>
      </c>
      <c r="G7" s="12" t="n">
        <v>65</v>
      </c>
    </row>
    <row r="8">
      <c r="A8" s="13" t="inlineStr">
        <is>
          <t>East Asia (small-scale)</t>
        </is>
      </c>
      <c r="B8" s="13" t="n">
        <v>95</v>
      </c>
      <c r="C8" s="13" t="n">
        <v>108</v>
      </c>
      <c r="D8" s="13" t="n">
        <v>122</v>
      </c>
      <c r="E8" s="13" t="n">
        <v>138</v>
      </c>
      <c r="F8" s="13" t="n">
        <v>155</v>
      </c>
      <c r="G8" s="13" t="n">
        <v>175</v>
      </c>
    </row>
    <row r="9">
      <c r="A9" s="12" t="inlineStr">
        <is>
          <t>Rest of World</t>
        </is>
      </c>
      <c r="B9" s="12" t="n">
        <v>16</v>
      </c>
      <c r="C9" s="12" t="n">
        <v>19</v>
      </c>
      <c r="D9" s="12" t="n">
        <v>23</v>
      </c>
      <c r="E9" s="12" t="n">
        <v>27</v>
      </c>
      <c r="F9" s="12" t="n">
        <v>33</v>
      </c>
      <c r="G9" s="12" t="n">
        <v>40</v>
      </c>
    </row>
    <row r="10">
      <c r="A10" s="14" t="inlineStr">
        <is>
          <t>TOTAL</t>
        </is>
      </c>
      <c r="B10" s="14" t="n">
        <v>250</v>
      </c>
      <c r="C10" s="14" t="n">
        <v>287</v>
      </c>
      <c r="D10" s="14" t="n">
        <v>331</v>
      </c>
      <c r="E10" s="14" t="n">
        <v>379</v>
      </c>
      <c r="F10" s="14" t="n">
        <v>436</v>
      </c>
      <c r="G10" s="14" t="n">
        <v>503</v>
      </c>
    </row>
    <row r="32">
      <c r="A32" s="10" t="inlineStr">
        <is>
          <t>B. Feedstock Composition for Artisanal Biochar Production (2023, %)</t>
        </is>
      </c>
    </row>
    <row r="33">
      <c r="A33" s="11" t="inlineStr">
        <is>
          <t>Feedstock Type</t>
        </is>
      </c>
      <c r="B33" s="11" t="inlineStr">
        <is>
          <t>Share (%)</t>
        </is>
      </c>
      <c r="C33" s="11" t="inlineStr">
        <is>
          <t>Avg C-Content (%)</t>
        </is>
      </c>
      <c r="D33" s="11" t="inlineStr">
        <is>
          <t>H:C Ratio</t>
        </is>
      </c>
      <c r="E33" s="11" t="inlineStr">
        <is>
          <t>Typical Yield (%)</t>
        </is>
      </c>
      <c r="F33" s="11" t="inlineStr">
        <is>
          <t>Carbon Credits Potential (tCO₂e/t)</t>
        </is>
      </c>
    </row>
    <row r="34">
      <c r="A34" s="13" t="inlineStr">
        <is>
          <t>Agricultural residues (rice/wheat straw)</t>
        </is>
      </c>
      <c r="B34" s="13" t="n">
        <v>34</v>
      </c>
      <c r="C34" s="13" t="n">
        <v>58</v>
      </c>
      <c r="D34" s="13" t="n">
        <v>0.4</v>
      </c>
      <c r="E34" s="13" t="n">
        <v>30</v>
      </c>
      <c r="F34" s="13" t="n">
        <v>2.1</v>
      </c>
    </row>
    <row r="35">
      <c r="A35" s="12" t="inlineStr">
        <is>
          <t>Wood chips / forestry waste</t>
        </is>
      </c>
      <c r="B35" s="12" t="n">
        <v>28</v>
      </c>
      <c r="C35" s="12" t="n">
        <v>72</v>
      </c>
      <c r="D35" s="12" t="n">
        <v>0.3</v>
      </c>
      <c r="E35" s="12" t="n">
        <v>28</v>
      </c>
      <c r="F35" s="12" t="n">
        <v>2.6</v>
      </c>
    </row>
    <row r="36">
      <c r="A36" s="13" t="inlineStr">
        <is>
          <t>Bamboo</t>
        </is>
      </c>
      <c r="B36" s="13" t="n">
        <v>12</v>
      </c>
      <c r="C36" s="13" t="n">
        <v>75</v>
      </c>
      <c r="D36" s="13" t="n">
        <v>0.3</v>
      </c>
      <c r="E36" s="13" t="n">
        <v>32</v>
      </c>
      <c r="F36" s="13" t="n">
        <v>2.8</v>
      </c>
    </row>
    <row r="37">
      <c r="A37" s="12" t="inlineStr">
        <is>
          <t>Coconut shells / husks</t>
        </is>
      </c>
      <c r="B37" s="12" t="n">
        <v>9</v>
      </c>
      <c r="C37" s="12" t="n">
        <v>78</v>
      </c>
      <c r="D37" s="12" t="n">
        <v>0.2</v>
      </c>
      <c r="E37" s="12" t="n">
        <v>35</v>
      </c>
      <c r="F37" s="12" t="n">
        <v>3</v>
      </c>
    </row>
    <row r="38">
      <c r="A38" s="13" t="inlineStr">
        <is>
          <t>Manure / sewage sludge</t>
        </is>
      </c>
      <c r="B38" s="13" t="n">
        <v>8</v>
      </c>
      <c r="C38" s="13" t="n">
        <v>45</v>
      </c>
      <c r="D38" s="13" t="n">
        <v>0.6</v>
      </c>
      <c r="E38" s="13" t="n">
        <v>22</v>
      </c>
      <c r="F38" s="13" t="n">
        <v>1.5</v>
      </c>
    </row>
    <row r="39">
      <c r="A39" s="12" t="inlineStr">
        <is>
          <t>Municipal green waste</t>
        </is>
      </c>
      <c r="B39" s="12" t="n">
        <v>5</v>
      </c>
      <c r="C39" s="12" t="n">
        <v>60</v>
      </c>
      <c r="D39" s="12" t="n">
        <v>0.4</v>
      </c>
      <c r="E39" s="12" t="n">
        <v>27</v>
      </c>
      <c r="F39" s="12" t="n">
        <v>2.2</v>
      </c>
    </row>
    <row r="40">
      <c r="A40" s="13" t="inlineStr">
        <is>
          <t>Other</t>
        </is>
      </c>
      <c r="B40" s="13" t="n">
        <v>4</v>
      </c>
      <c r="C40" s="13" t="n">
        <v>55</v>
      </c>
      <c r="D40" s="13" t="n">
        <v>0.5</v>
      </c>
      <c r="E40" s="13" t="n">
        <v>25</v>
      </c>
      <c r="F40" s="13" t="n">
        <v>1.9</v>
      </c>
    </row>
  </sheetData>
  <mergeCells count="3">
    <mergeCell ref="A32:G32"/>
    <mergeCell ref="A3:G3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30" customWidth="1" min="8" max="8"/>
  </cols>
  <sheetData>
    <row r="1" ht="30" customHeight="1">
      <c r="A1" s="15" t="inlineStr">
        <is>
          <t>CARBON SEQUESTRATION &amp; EMISSION ANALYSIS</t>
        </is>
      </c>
    </row>
    <row r="3">
      <c r="A3" s="16" t="inlineStr">
        <is>
          <t>A. Default Emission Factors – Artisanal Biochar Production Scenarios</t>
        </is>
      </c>
    </row>
    <row r="4" ht="30" customHeight="1">
      <c r="A4" s="17" t="inlineStr">
        <is>
          <t>Scenario</t>
        </is>
      </c>
      <c r="B4" s="17" t="inlineStr">
        <is>
          <t>Technology</t>
        </is>
      </c>
      <c r="C4" s="17" t="inlineStr">
        <is>
          <t>GHG Saved
(tCO₂e/t biochar)</t>
        </is>
      </c>
      <c r="D4" s="17" t="inlineStr">
        <is>
          <t>CH₄ Emitted
(kg/t biochar)</t>
        </is>
      </c>
      <c r="E4" s="17" t="inlineStr">
        <is>
          <t>N₂O Emitted
(g/t biochar)</t>
        </is>
      </c>
      <c r="F4" s="17" t="inlineStr">
        <is>
          <t>Net Climate
Benefit Score</t>
        </is>
      </c>
      <c r="G4" s="17" t="inlineStr">
        <is>
          <t>Permanence
(years)</t>
        </is>
      </c>
      <c r="H4" s="17" t="inlineStr">
        <is>
          <t>Notes</t>
        </is>
      </c>
    </row>
    <row r="5">
      <c r="A5" s="12" t="inlineStr">
        <is>
          <t>Baseline – Open Burning</t>
        </is>
      </c>
      <c r="B5" s="12" t="inlineStr">
        <is>
          <t>None (avoided)</t>
        </is>
      </c>
      <c r="C5" s="12" t="n">
        <v>0</v>
      </c>
      <c r="D5" s="12" t="n">
        <v>45</v>
      </c>
      <c r="E5" s="12" t="n">
        <v>820</v>
      </c>
      <c r="F5" s="12" t="inlineStr">
        <is>
          <t>–</t>
        </is>
      </c>
      <c r="G5" s="12" t="inlineStr">
        <is>
          <t>–</t>
        </is>
      </c>
      <c r="H5" s="12" t="inlineStr">
        <is>
          <t>Reference scenario</t>
        </is>
      </c>
    </row>
    <row r="6">
      <c r="A6" s="13" t="inlineStr">
        <is>
          <t>Traditional Earthen Kiln</t>
        </is>
      </c>
      <c r="B6" s="13" t="inlineStr">
        <is>
          <t>Earthen mound kiln</t>
        </is>
      </c>
      <c r="C6" s="13" t="n">
        <v>1.8</v>
      </c>
      <c r="D6" s="13" t="n">
        <v>22</v>
      </c>
      <c r="E6" s="13" t="n">
        <v>410</v>
      </c>
      <c r="F6" s="13" t="inlineStr">
        <is>
          <t>Low</t>
        </is>
      </c>
      <c r="G6" s="13" t="n">
        <v>50</v>
      </c>
      <c r="H6" s="13" t="inlineStr">
        <is>
          <t>Common in SSA/Asia</t>
        </is>
      </c>
    </row>
    <row r="7">
      <c r="A7" s="12" t="inlineStr">
        <is>
          <t>Improved Earthen Kiln</t>
        </is>
      </c>
      <c r="B7" s="12" t="inlineStr">
        <is>
          <t>Covered earthen kiln</t>
        </is>
      </c>
      <c r="C7" s="12" t="n">
        <v>2.4</v>
      </c>
      <c r="D7" s="12" t="n">
        <v>12</v>
      </c>
      <c r="E7" s="12" t="n">
        <v>280</v>
      </c>
      <c r="F7" s="12" t="inlineStr">
        <is>
          <t>Moderate</t>
        </is>
      </c>
      <c r="G7" s="12" t="n">
        <v>100</v>
      </c>
      <c r="H7" s="12" t="inlineStr">
        <is>
          <t>Simple modification</t>
        </is>
      </c>
    </row>
    <row r="8">
      <c r="A8" s="13" t="inlineStr">
        <is>
          <t>Metal/Drum Kiln (TLUD)</t>
        </is>
      </c>
      <c r="B8" s="13" t="inlineStr">
        <is>
          <t>Top-lit updraft drum</t>
        </is>
      </c>
      <c r="C8" s="13" t="n">
        <v>2.8</v>
      </c>
      <c r="D8" s="13" t="n">
        <v>6.5</v>
      </c>
      <c r="E8" s="13" t="n">
        <v>190</v>
      </c>
      <c r="F8" s="13" t="inlineStr">
        <is>
          <t>Good</t>
        </is>
      </c>
      <c r="G8" s="13" t="n">
        <v>100</v>
      </c>
      <c r="H8" s="13" t="inlineStr">
        <is>
          <t>Widely deployable</t>
        </is>
      </c>
    </row>
    <row r="9">
      <c r="A9" s="12" t="inlineStr">
        <is>
          <t>Retort Kiln</t>
        </is>
      </c>
      <c r="B9" s="12" t="inlineStr">
        <is>
          <t>Closed-loop retort</t>
        </is>
      </c>
      <c r="C9" s="12" t="n">
        <v>3.1</v>
      </c>
      <c r="D9" s="12" t="n">
        <v>3.2</v>
      </c>
      <c r="E9" s="12" t="n">
        <v>120</v>
      </c>
      <c r="F9" s="12" t="inlineStr">
        <is>
          <t>High</t>
        </is>
      </c>
      <c r="G9" s="12" t="n">
        <v>200</v>
      </c>
      <c r="H9" s="12" t="inlineStr">
        <is>
          <t>Higher capex</t>
        </is>
      </c>
    </row>
    <row r="10">
      <c r="A10" s="13" t="inlineStr">
        <is>
          <t>Pyrolysis (small-scale, slow)</t>
        </is>
      </c>
      <c r="B10" s="13" t="inlineStr">
        <is>
          <t>Low-tech slow pyrolysis</t>
        </is>
      </c>
      <c r="C10" s="13" t="n">
        <v>3.4</v>
      </c>
      <c r="D10" s="13" t="n">
        <v>1.8</v>
      </c>
      <c r="E10" s="13" t="n">
        <v>80</v>
      </c>
      <c r="F10" s="13" t="inlineStr">
        <is>
          <t>High</t>
        </is>
      </c>
      <c r="G10" s="13" t="n">
        <v>500</v>
      </c>
      <c r="H10" s="13" t="inlineStr">
        <is>
          <t>Semi-artisanal</t>
        </is>
      </c>
    </row>
    <row r="11">
      <c r="A11" s="12" t="inlineStr">
        <is>
          <t>Flash Carbonisation</t>
        </is>
      </c>
      <c r="B11" s="12" t="inlineStr">
        <is>
          <t>Flash carbonisation</t>
        </is>
      </c>
      <c r="C11" s="12" t="n">
        <v>3.6</v>
      </c>
      <c r="D11" s="12" t="n">
        <v>0.9</v>
      </c>
      <c r="E11" s="12" t="n">
        <v>40</v>
      </c>
      <c r="F11" s="12" t="inlineStr">
        <is>
          <t>Very High</t>
        </is>
      </c>
      <c r="G11" s="12" t="n">
        <v>500</v>
      </c>
      <c r="H11" s="12" t="inlineStr">
        <is>
          <t>Emerging tech</t>
        </is>
      </c>
    </row>
    <row r="30">
      <c r="A30" s="16" t="inlineStr">
        <is>
          <t>B. Projected Cumulative Carbon Sequestration – Artisanal Sector (Mt CO₂e)</t>
        </is>
      </c>
    </row>
    <row r="31">
      <c r="A31" s="17" t="inlineStr">
        <is>
          <t>Year</t>
        </is>
      </c>
      <c r="B31" s="17" t="inlineStr">
        <is>
          <t>Conservative (Mt)</t>
        </is>
      </c>
      <c r="C31" s="17" t="inlineStr">
        <is>
          <t>Base Case (Mt)</t>
        </is>
      </c>
      <c r="D31" s="17" t="inlineStr">
        <is>
          <t>Optimistic (Mt)</t>
        </is>
      </c>
      <c r="E31" s="17" t="inlineStr">
        <is>
          <t>Cumulative Base (Mt)</t>
        </is>
      </c>
    </row>
    <row r="32">
      <c r="A32" s="13" t="n">
        <v>2023</v>
      </c>
      <c r="B32" s="13" t="n">
        <v>0.9</v>
      </c>
      <c r="C32" s="13" t="n">
        <v>1.2</v>
      </c>
      <c r="D32" s="13" t="n">
        <v>1.6</v>
      </c>
      <c r="E32" s="13" t="n">
        <v>1.2</v>
      </c>
    </row>
    <row r="33">
      <c r="A33" s="12" t="n">
        <v>2024</v>
      </c>
      <c r="B33" s="12" t="n">
        <v>1.1</v>
      </c>
      <c r="C33" s="12" t="n">
        <v>1.5</v>
      </c>
      <c r="D33" s="12" t="n">
        <v>2.1</v>
      </c>
      <c r="E33" s="12" t="n">
        <v>2.7</v>
      </c>
    </row>
    <row r="34">
      <c r="A34" s="13" t="n">
        <v>2025</v>
      </c>
      <c r="B34" s="13" t="n">
        <v>1.4</v>
      </c>
      <c r="C34" s="13" t="n">
        <v>1.9</v>
      </c>
      <c r="D34" s="13" t="n">
        <v>2.7</v>
      </c>
      <c r="E34" s="13" t="n">
        <v>4.6</v>
      </c>
    </row>
    <row r="35">
      <c r="A35" s="12" t="n">
        <v>2026</v>
      </c>
      <c r="B35" s="12" t="n">
        <v>1.7</v>
      </c>
      <c r="C35" s="12" t="n">
        <v>2.4</v>
      </c>
      <c r="D35" s="12" t="n">
        <v>3.4</v>
      </c>
      <c r="E35" s="12" t="n">
        <v>7</v>
      </c>
    </row>
    <row r="36">
      <c r="A36" s="13" t="n">
        <v>2027</v>
      </c>
      <c r="B36" s="13" t="n">
        <v>2</v>
      </c>
      <c r="C36" s="13" t="n">
        <v>3</v>
      </c>
      <c r="D36" s="13" t="n">
        <v>4.3</v>
      </c>
      <c r="E36" s="13" t="n">
        <v>10</v>
      </c>
    </row>
    <row r="37">
      <c r="A37" s="12" t="n">
        <v>2028</v>
      </c>
      <c r="B37" s="12" t="n">
        <v>2.4</v>
      </c>
      <c r="C37" s="12" t="n">
        <v>3.7</v>
      </c>
      <c r="D37" s="12" t="n">
        <v>5.4</v>
      </c>
      <c r="E37" s="12" t="n">
        <v>13.7</v>
      </c>
    </row>
    <row r="38">
      <c r="A38" s="13" t="n">
        <v>2029</v>
      </c>
      <c r="B38" s="13" t="n">
        <v>2.9</v>
      </c>
      <c r="C38" s="13" t="n">
        <v>4.6</v>
      </c>
      <c r="D38" s="13" t="n">
        <v>6.8</v>
      </c>
      <c r="E38" s="13" t="n">
        <v>18.3</v>
      </c>
    </row>
    <row r="39">
      <c r="A39" s="12" t="n">
        <v>2030</v>
      </c>
      <c r="B39" s="12" t="n">
        <v>3.5</v>
      </c>
      <c r="C39" s="12" t="n">
        <v>5.7</v>
      </c>
      <c r="D39" s="12" t="n">
        <v>8.5</v>
      </c>
      <c r="E39" s="12" t="n">
        <v>24</v>
      </c>
    </row>
  </sheetData>
  <mergeCells count="3">
    <mergeCell ref="A3:H3"/>
    <mergeCell ref="A30:H30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0" customWidth="1" min="7" max="7"/>
    <col width="16" customWidth="1" min="8" max="8"/>
  </cols>
  <sheetData>
    <row r="1" ht="30" customHeight="1">
      <c r="A1" s="18" t="inlineStr">
        <is>
          <t>ECONOMIC FEASIBILITY ANALYSIS – ARTISANAL BIOCHAR TECHNOLOGY</t>
        </is>
      </c>
    </row>
    <row r="3">
      <c r="A3" s="19" t="inlineStr">
        <is>
          <t>A. Capital &amp; Operating Cost Comparison by Technology (USD, per tonne biochar basis)</t>
        </is>
      </c>
    </row>
    <row r="4" ht="30" customHeight="1">
      <c r="A4" s="20" t="inlineStr">
        <is>
          <t>Technology</t>
        </is>
      </c>
      <c r="B4" s="20" t="inlineStr">
        <is>
          <t>CAPEX (USD)</t>
        </is>
      </c>
      <c r="C4" s="20" t="inlineStr">
        <is>
          <t>OPEX / yr (USD)</t>
        </is>
      </c>
      <c r="D4" s="20" t="inlineStr">
        <is>
          <t>Break-even
(tonnes/yr)</t>
        </is>
      </c>
      <c r="E4" s="20" t="inlineStr">
        <is>
          <t>Carbon Credit
Revenue (USD/t)</t>
        </is>
      </c>
      <c r="F4" s="20" t="inlineStr">
        <is>
          <t>Payback
Period (yrs)</t>
        </is>
      </c>
      <c r="G4" s="20" t="inlineStr">
        <is>
          <t>IRR (%)</t>
        </is>
      </c>
      <c r="H4" s="20" t="inlineStr">
        <is>
          <t>NPV @ 10yr
(USD '000)</t>
        </is>
      </c>
    </row>
    <row r="5">
      <c r="A5" s="12" t="inlineStr">
        <is>
          <t>Traditional Earthen Kiln</t>
        </is>
      </c>
      <c r="B5" s="12" t="n">
        <v>200</v>
      </c>
      <c r="C5" s="12" t="n">
        <v>150</v>
      </c>
      <c r="D5" s="12" t="n">
        <v>12</v>
      </c>
      <c r="E5" s="12" t="n">
        <v>8</v>
      </c>
      <c r="F5" s="12" t="inlineStr">
        <is>
          <t>N/A</t>
        </is>
      </c>
      <c r="G5" s="12" t="inlineStr">
        <is>
          <t>N/A</t>
        </is>
      </c>
      <c r="H5" s="12" t="inlineStr">
        <is>
          <t>-1.2</t>
        </is>
      </c>
    </row>
    <row r="6">
      <c r="A6" s="13" t="inlineStr">
        <is>
          <t>Improved Earthen Kiln</t>
        </is>
      </c>
      <c r="B6" s="13" t="n">
        <v>450</v>
      </c>
      <c r="C6" s="13" t="n">
        <v>200</v>
      </c>
      <c r="D6" s="13" t="n">
        <v>18</v>
      </c>
      <c r="E6" s="13" t="n">
        <v>12</v>
      </c>
      <c r="F6" s="13" t="inlineStr">
        <is>
          <t>N/A</t>
        </is>
      </c>
      <c r="G6" s="13" t="inlineStr">
        <is>
          <t>N/A</t>
        </is>
      </c>
      <c r="H6" s="13" t="inlineStr">
        <is>
          <t>-0.8</t>
        </is>
      </c>
    </row>
    <row r="7">
      <c r="A7" s="12" t="inlineStr">
        <is>
          <t>Metal Drum / TLUD</t>
        </is>
      </c>
      <c r="B7" s="12" t="n">
        <v>1200</v>
      </c>
      <c r="C7" s="12" t="n">
        <v>350</v>
      </c>
      <c r="D7" s="12" t="n">
        <v>25</v>
      </c>
      <c r="E7" s="12" t="n">
        <v>18</v>
      </c>
      <c r="F7" s="12" t="n">
        <v>4.5</v>
      </c>
      <c r="G7" s="12" t="n">
        <v>22</v>
      </c>
      <c r="H7" s="12" t="inlineStr">
        <is>
          <t>+8.5</t>
        </is>
      </c>
    </row>
    <row r="8">
      <c r="A8" s="13" t="inlineStr">
        <is>
          <t>Retort Kiln (small)</t>
        </is>
      </c>
      <c r="B8" s="13" t="n">
        <v>4500</v>
      </c>
      <c r="C8" s="13" t="n">
        <v>700</v>
      </c>
      <c r="D8" s="13" t="n">
        <v>40</v>
      </c>
      <c r="E8" s="13" t="n">
        <v>24</v>
      </c>
      <c r="F8" s="13" t="n">
        <v>3.8</v>
      </c>
      <c r="G8" s="13" t="n">
        <v>18</v>
      </c>
      <c r="H8" s="13" t="inlineStr">
        <is>
          <t>+22.0</t>
        </is>
      </c>
    </row>
    <row r="9">
      <c r="A9" s="12" t="inlineStr">
        <is>
          <t>Retort Kiln (medium)</t>
        </is>
      </c>
      <c r="B9" s="12" t="n">
        <v>18000</v>
      </c>
      <c r="C9" s="12" t="n">
        <v>2500</v>
      </c>
      <c r="D9" s="12" t="n">
        <v>150</v>
      </c>
      <c r="E9" s="12" t="n">
        <v>28</v>
      </c>
      <c r="F9" s="12" t="n">
        <v>3.2</v>
      </c>
      <c r="G9" s="12" t="n">
        <v>16</v>
      </c>
      <c r="H9" s="12" t="inlineStr">
        <is>
          <t>+85.0</t>
        </is>
      </c>
    </row>
    <row r="10">
      <c r="A10" s="13" t="inlineStr">
        <is>
          <t>Slow Pyrolysis Unit (small)</t>
        </is>
      </c>
      <c r="B10" s="13" t="n">
        <v>35000</v>
      </c>
      <c r="C10" s="13" t="n">
        <v>5000</v>
      </c>
      <c r="D10" s="13" t="n">
        <v>280</v>
      </c>
      <c r="E10" s="13" t="n">
        <v>34</v>
      </c>
      <c r="F10" s="13" t="n">
        <v>2.8</v>
      </c>
      <c r="G10" s="13" t="n">
        <v>14</v>
      </c>
      <c r="H10" s="13" t="inlineStr">
        <is>
          <t>+145.0</t>
        </is>
      </c>
    </row>
    <row r="11">
      <c r="A11" s="12" t="inlineStr">
        <is>
          <t>Container Pyrolysis Unit</t>
        </is>
      </c>
      <c r="B11" s="12" t="n">
        <v>120000</v>
      </c>
      <c r="C11" s="12" t="n">
        <v>15000</v>
      </c>
      <c r="D11" s="12" t="n">
        <v>800</v>
      </c>
      <c r="E11" s="12" t="n">
        <v>42</v>
      </c>
      <c r="F11" s="12" t="n">
        <v>2.5</v>
      </c>
      <c r="G11" s="12" t="n">
        <v>12</v>
      </c>
      <c r="H11" s="12" t="inlineStr">
        <is>
          <t>+480.0</t>
        </is>
      </c>
    </row>
    <row r="14">
      <c r="A14" s="19" t="inlineStr">
        <is>
          <t>B. Carbon Credit Price Sensitivity – Metal Drum Kiln (NPV, USD '000 at 5-year horizon)</t>
        </is>
      </c>
    </row>
    <row r="15">
      <c r="A15" s="20" t="inlineStr">
        <is>
          <t>Carbon Price (USD/tCO₂e)</t>
        </is>
      </c>
      <c r="B15" s="20" t="inlineStr">
        <is>
          <t>5 USD</t>
        </is>
      </c>
      <c r="C15" s="20" t="inlineStr">
        <is>
          <t>10 USD</t>
        </is>
      </c>
      <c r="D15" s="20" t="inlineStr">
        <is>
          <t>15 USD</t>
        </is>
      </c>
      <c r="E15" s="20" t="inlineStr">
        <is>
          <t>20 USD</t>
        </is>
      </c>
      <c r="F15" s="20" t="inlineStr">
        <is>
          <t>30 USD</t>
        </is>
      </c>
      <c r="G15" s="20" t="inlineStr">
        <is>
          <t>50 USD</t>
        </is>
      </c>
    </row>
    <row r="16">
      <c r="A16" s="13" t="inlineStr">
        <is>
          <t>Production 10 t/yr</t>
        </is>
      </c>
      <c r="B16" s="13" t="inlineStr">
        <is>
          <t>-2.4</t>
        </is>
      </c>
      <c r="C16" s="13" t="inlineStr">
        <is>
          <t>-1.1</t>
        </is>
      </c>
      <c r="D16" s="13" t="inlineStr">
        <is>
          <t>0.2</t>
        </is>
      </c>
      <c r="E16" s="13" t="inlineStr">
        <is>
          <t>1.5</t>
        </is>
      </c>
      <c r="F16" s="13" t="inlineStr">
        <is>
          <t>4.1</t>
        </is>
      </c>
      <c r="G16" s="13" t="inlineStr">
        <is>
          <t>9.3</t>
        </is>
      </c>
    </row>
    <row r="17">
      <c r="A17" s="12" t="inlineStr">
        <is>
          <t>Production 25 t/yr</t>
        </is>
      </c>
      <c r="B17" s="12" t="inlineStr">
        <is>
          <t>-1.8</t>
        </is>
      </c>
      <c r="C17" s="12" t="inlineStr">
        <is>
          <t>0.5</t>
        </is>
      </c>
      <c r="D17" s="12" t="inlineStr">
        <is>
          <t>2.8</t>
        </is>
      </c>
      <c r="E17" s="12" t="inlineStr">
        <is>
          <t>5.1</t>
        </is>
      </c>
      <c r="F17" s="12" t="inlineStr">
        <is>
          <t>10.0</t>
        </is>
      </c>
      <c r="G17" s="12" t="inlineStr">
        <is>
          <t>21.0</t>
        </is>
      </c>
    </row>
    <row r="18">
      <c r="A18" s="13" t="inlineStr">
        <is>
          <t>Production 50 t/yr</t>
        </is>
      </c>
      <c r="B18" s="13" t="inlineStr">
        <is>
          <t>0.5</t>
        </is>
      </c>
      <c r="C18" s="13" t="inlineStr">
        <is>
          <t>4.2</t>
        </is>
      </c>
      <c r="D18" s="13" t="inlineStr">
        <is>
          <t>7.9</t>
        </is>
      </c>
      <c r="E18" s="13" t="inlineStr">
        <is>
          <t>11.6</t>
        </is>
      </c>
      <c r="F18" s="13" t="inlineStr">
        <is>
          <t>19.0</t>
        </is>
      </c>
      <c r="G18" s="13" t="inlineStr">
        <is>
          <t>33.8</t>
        </is>
      </c>
    </row>
    <row r="19">
      <c r="A19" s="12" t="inlineStr">
        <is>
          <t>Production 100 t/yr</t>
        </is>
      </c>
      <c r="B19" s="12" t="inlineStr">
        <is>
          <t>4.2</t>
        </is>
      </c>
      <c r="C19" s="12" t="inlineStr">
        <is>
          <t>11.0</t>
        </is>
      </c>
      <c r="D19" s="12" t="inlineStr">
        <is>
          <t>17.8</t>
        </is>
      </c>
      <c r="E19" s="12" t="inlineStr">
        <is>
          <t>24.6</t>
        </is>
      </c>
      <c r="F19" s="12" t="inlineStr">
        <is>
          <t>38.2</t>
        </is>
      </c>
      <c r="G19" s="12" t="inlineStr">
        <is>
          <t>65.4</t>
        </is>
      </c>
    </row>
    <row r="20">
      <c r="A20" s="13" t="inlineStr">
        <is>
          <t>Production 200 t/yr</t>
        </is>
      </c>
      <c r="B20" s="13" t="inlineStr">
        <is>
          <t>12.0</t>
        </is>
      </c>
      <c r="C20" s="13" t="inlineStr">
        <is>
          <t>25.5</t>
        </is>
      </c>
      <c r="D20" s="13" t="inlineStr">
        <is>
          <t>39.0</t>
        </is>
      </c>
      <c r="E20" s="13" t="inlineStr">
        <is>
          <t>52.5</t>
        </is>
      </c>
      <c r="F20" s="13" t="inlineStr">
        <is>
          <t>79.5</t>
        </is>
      </c>
      <c r="G20" s="13" t="inlineStr">
        <is>
          <t>133.5</t>
        </is>
      </c>
    </row>
    <row r="23">
      <c r="A23" s="19" t="inlineStr">
        <is>
          <t>C. Biochar Market Price Trend (USD / tonne, artisanal grade)</t>
        </is>
      </c>
    </row>
    <row r="24">
      <c r="A24" s="20" t="inlineStr">
        <is>
          <t>Year</t>
        </is>
      </c>
      <c r="B24" s="20" t="inlineStr">
        <is>
          <t>Spot Price (USD/t)</t>
        </is>
      </c>
      <c r="C24" s="20" t="inlineStr">
        <is>
          <t>Carbon Credit (USD/tCO₂e)</t>
        </is>
      </c>
      <c r="D24" s="20" t="inlineStr">
        <is>
          <t>Total Revenue Potential (USD/t)</t>
        </is>
      </c>
    </row>
    <row r="25">
      <c r="A25" s="12" t="n">
        <v>2018</v>
      </c>
      <c r="B25" s="12" t="n">
        <v>180</v>
      </c>
      <c r="C25" s="12" t="n">
        <v>4.5</v>
      </c>
      <c r="D25" s="12" t="n">
        <v>189.5</v>
      </c>
    </row>
    <row r="26">
      <c r="A26" s="13" t="n">
        <v>2019</v>
      </c>
      <c r="B26" s="13" t="n">
        <v>195</v>
      </c>
      <c r="C26" s="13" t="n">
        <v>5.1</v>
      </c>
      <c r="D26" s="13" t="n">
        <v>205.1</v>
      </c>
    </row>
    <row r="27">
      <c r="A27" s="12" t="n">
        <v>2020</v>
      </c>
      <c r="B27" s="12" t="n">
        <v>205</v>
      </c>
      <c r="C27" s="12" t="n">
        <v>5.8</v>
      </c>
      <c r="D27" s="12" t="n">
        <v>216.6</v>
      </c>
    </row>
    <row r="28">
      <c r="A28" s="13" t="n">
        <v>2021</v>
      </c>
      <c r="B28" s="13" t="n">
        <v>225</v>
      </c>
      <c r="C28" s="13" t="n">
        <v>8.199999999999999</v>
      </c>
      <c r="D28" s="13" t="n">
        <v>241.4</v>
      </c>
    </row>
    <row r="29">
      <c r="A29" s="12" t="n">
        <v>2022</v>
      </c>
      <c r="B29" s="12" t="n">
        <v>285</v>
      </c>
      <c r="C29" s="12" t="n">
        <v>12</v>
      </c>
      <c r="D29" s="12" t="n">
        <v>309</v>
      </c>
    </row>
    <row r="30">
      <c r="A30" s="13" t="n">
        <v>2023</v>
      </c>
      <c r="B30" s="13" t="n">
        <v>320</v>
      </c>
      <c r="C30" s="13" t="n">
        <v>14.5</v>
      </c>
      <c r="D30" s="13" t="n">
        <v>349.5</v>
      </c>
    </row>
    <row r="31">
      <c r="A31" s="12" t="n">
        <v>2024</v>
      </c>
      <c r="B31" s="12" t="n">
        <v>360</v>
      </c>
      <c r="C31" s="12" t="n">
        <v>17</v>
      </c>
      <c r="D31" s="12" t="n">
        <v>394</v>
      </c>
    </row>
    <row r="32">
      <c r="A32" s="13" t="n">
        <v>2025</v>
      </c>
      <c r="B32" s="13" t="n">
        <v>405</v>
      </c>
      <c r="C32" s="13" t="n">
        <v>20</v>
      </c>
      <c r="D32" s="13" t="n">
        <v>445</v>
      </c>
    </row>
    <row r="33">
      <c r="A33" s="12" t="n">
        <v>2026</v>
      </c>
      <c r="B33" s="12" t="n">
        <v>450</v>
      </c>
      <c r="C33" s="12" t="n">
        <v>23</v>
      </c>
      <c r="D33" s="12" t="n">
        <v>496</v>
      </c>
    </row>
  </sheetData>
  <mergeCells count="4">
    <mergeCell ref="A23:H23"/>
    <mergeCell ref="A3:H3"/>
    <mergeCell ref="A14:H14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4" customWidth="1" min="4" max="4"/>
    <col width="12" customWidth="1" min="5" max="5"/>
    <col width="16" customWidth="1" min="6" max="6"/>
  </cols>
  <sheetData>
    <row r="1" ht="30" customHeight="1">
      <c r="A1" s="21" t="inlineStr">
        <is>
          <t>STATISTICAL ANALYSIS – ARTISANAL BIOCHAR PRODUCTION &amp; CARBON DATA</t>
        </is>
      </c>
    </row>
    <row r="3">
      <c r="A3" s="22" t="inlineStr">
        <is>
          <t>A. Descriptive Statistics – Carbon Content (%) across Artisanal Biochar Studies (n=68)</t>
        </is>
      </c>
    </row>
    <row r="4">
      <c r="A4" s="23" t="inlineStr">
        <is>
          <t>Statistic</t>
        </is>
      </c>
      <c r="B4" s="23" t="inlineStr">
        <is>
          <t>Traditional Kiln</t>
        </is>
      </c>
      <c r="C4" s="23" t="inlineStr">
        <is>
          <t>Improved Kiln</t>
        </is>
      </c>
      <c r="D4" s="23" t="inlineStr">
        <is>
          <t>TLUD Drum</t>
        </is>
      </c>
      <c r="E4" s="23" t="inlineStr">
        <is>
          <t>Retort</t>
        </is>
      </c>
      <c r="F4" s="23" t="inlineStr">
        <is>
          <t>Slow Pyrolysis</t>
        </is>
      </c>
    </row>
    <row r="5">
      <c r="A5" s="12" t="inlineStr">
        <is>
          <t>Mean (%)</t>
        </is>
      </c>
      <c r="B5" s="12" t="n">
        <v>55.2</v>
      </c>
      <c r="C5" s="12" t="n">
        <v>62.1</v>
      </c>
      <c r="D5" s="12" t="n">
        <v>68.40000000000001</v>
      </c>
      <c r="E5" s="12" t="n">
        <v>74.3</v>
      </c>
      <c r="F5" s="12" t="n">
        <v>78.8</v>
      </c>
    </row>
    <row r="6">
      <c r="A6" s="13" t="inlineStr">
        <is>
          <t>Median (%)</t>
        </is>
      </c>
      <c r="B6" s="13" t="n">
        <v>54</v>
      </c>
      <c r="C6" s="13" t="n">
        <v>61.5</v>
      </c>
      <c r="D6" s="13" t="n">
        <v>67.90000000000001</v>
      </c>
      <c r="E6" s="13" t="n">
        <v>74</v>
      </c>
      <c r="F6" s="13" t="n">
        <v>78.5</v>
      </c>
    </row>
    <row r="7">
      <c r="A7" s="12" t="inlineStr">
        <is>
          <t>Std Deviation</t>
        </is>
      </c>
      <c r="B7" s="12" t="n">
        <v>8.300000000000001</v>
      </c>
      <c r="C7" s="12" t="n">
        <v>7.1</v>
      </c>
      <c r="D7" s="12" t="n">
        <v>6.2</v>
      </c>
      <c r="E7" s="12" t="n">
        <v>4.9</v>
      </c>
      <c r="F7" s="12" t="n">
        <v>3.8</v>
      </c>
    </row>
    <row r="8">
      <c r="A8" s="13" t="inlineStr">
        <is>
          <t>Min (%)</t>
        </is>
      </c>
      <c r="B8" s="13" t="n">
        <v>38</v>
      </c>
      <c r="C8" s="13" t="n">
        <v>45</v>
      </c>
      <c r="D8" s="13" t="n">
        <v>54</v>
      </c>
      <c r="E8" s="13" t="n">
        <v>63</v>
      </c>
      <c r="F8" s="13" t="n">
        <v>70</v>
      </c>
    </row>
    <row r="9">
      <c r="A9" s="12" t="inlineStr">
        <is>
          <t>Max (%)</t>
        </is>
      </c>
      <c r="B9" s="12" t="n">
        <v>72</v>
      </c>
      <c r="C9" s="12" t="n">
        <v>78</v>
      </c>
      <c r="D9" s="12" t="n">
        <v>82</v>
      </c>
      <c r="E9" s="12" t="n">
        <v>85</v>
      </c>
      <c r="F9" s="12" t="n">
        <v>89</v>
      </c>
    </row>
    <row r="10">
      <c r="A10" s="13" t="inlineStr">
        <is>
          <t>95% CI Lower</t>
        </is>
      </c>
      <c r="B10" s="13" t="n">
        <v>53.2</v>
      </c>
      <c r="C10" s="13" t="n">
        <v>60.4</v>
      </c>
      <c r="D10" s="13" t="n">
        <v>66.90000000000001</v>
      </c>
      <c r="E10" s="13" t="n">
        <v>73.09999999999999</v>
      </c>
      <c r="F10" s="13" t="n">
        <v>77.90000000000001</v>
      </c>
    </row>
    <row r="11">
      <c r="A11" s="12" t="inlineStr">
        <is>
          <t>95% CI Upper</t>
        </is>
      </c>
      <c r="B11" s="12" t="n">
        <v>57.2</v>
      </c>
      <c r="C11" s="12" t="n">
        <v>63.8</v>
      </c>
      <c r="D11" s="12" t="n">
        <v>69.90000000000001</v>
      </c>
      <c r="E11" s="12" t="n">
        <v>75.5</v>
      </c>
      <c r="F11" s="12" t="n">
        <v>79.7</v>
      </c>
    </row>
    <row r="12">
      <c r="A12" s="13" t="inlineStr">
        <is>
          <t>Skewness</t>
        </is>
      </c>
      <c r="B12" s="13" t="n">
        <v>-0.3</v>
      </c>
      <c r="C12" s="13" t="n">
        <v>-0.2</v>
      </c>
      <c r="D12" s="13" t="n">
        <v>0.1</v>
      </c>
      <c r="E12" s="13" t="n">
        <v>0.2</v>
      </c>
      <c r="F12" s="13" t="n">
        <v>0.3</v>
      </c>
    </row>
    <row r="13">
      <c r="A13" s="12" t="inlineStr">
        <is>
          <t>Kurtosis</t>
        </is>
      </c>
      <c r="B13" s="12" t="n">
        <v>0.8</v>
      </c>
      <c r="C13" s="12" t="n">
        <v>0.6</v>
      </c>
      <c r="D13" s="12" t="n">
        <v>0.5</v>
      </c>
      <c r="E13" s="12" t="n">
        <v>0.4</v>
      </c>
      <c r="F13" s="12" t="n">
        <v>0.3</v>
      </c>
    </row>
    <row r="14">
      <c r="A14" s="13" t="inlineStr">
        <is>
          <t>Coefficient of Variation (%)</t>
        </is>
      </c>
      <c r="B14" s="13" t="n">
        <v>15</v>
      </c>
      <c r="C14" s="13" t="n">
        <v>11.4</v>
      </c>
      <c r="D14" s="13" t="n">
        <v>9.1</v>
      </c>
      <c r="E14" s="13" t="n">
        <v>6.6</v>
      </c>
      <c r="F14" s="13" t="n">
        <v>4.8</v>
      </c>
    </row>
    <row r="16">
      <c r="A16" s="22" t="inlineStr">
        <is>
          <t>B. Pearson Correlation Matrix – Key Variables (biochar C-content, yield, temperature, residence time)</t>
        </is>
      </c>
    </row>
    <row r="17">
      <c r="A17" s="23" t="inlineStr">
        <is>
          <t>Variable</t>
        </is>
      </c>
      <c r="B17" s="23" t="inlineStr">
        <is>
          <t>C-Content</t>
        </is>
      </c>
      <c r="C17" s="23" t="inlineStr">
        <is>
          <t>Yield (%)</t>
        </is>
      </c>
      <c r="D17" s="23" t="inlineStr">
        <is>
          <t>Temp (°C)</t>
        </is>
      </c>
      <c r="E17" s="23" t="inlineStr">
        <is>
          <t>Residence Time (min)</t>
        </is>
      </c>
      <c r="F17" s="23" t="inlineStr">
        <is>
          <t>H:C Ratio</t>
        </is>
      </c>
      <c r="G17" s="23" t="inlineStr">
        <is>
          <t>Bulk Density</t>
        </is>
      </c>
    </row>
    <row r="18">
      <c r="A18" s="13" t="inlineStr">
        <is>
          <t>C-Content</t>
        </is>
      </c>
      <c r="B18" s="24" t="n">
        <v>1</v>
      </c>
      <c r="C18" s="25" t="n">
        <v>-0.41</v>
      </c>
      <c r="D18" s="24" t="n">
        <v>0.78</v>
      </c>
      <c r="E18" s="25" t="n">
        <v>0.65</v>
      </c>
      <c r="F18" s="24" t="n">
        <v>-0.82</v>
      </c>
      <c r="G18" s="13" t="n">
        <v>0.35</v>
      </c>
    </row>
    <row r="19">
      <c r="A19" s="12" t="inlineStr">
        <is>
          <t>Yield (%)</t>
        </is>
      </c>
      <c r="B19" s="25" t="n">
        <v>-0.41</v>
      </c>
      <c r="C19" s="24" t="n">
        <v>1</v>
      </c>
      <c r="D19" s="25" t="n">
        <v>-0.55</v>
      </c>
      <c r="E19" s="12" t="n">
        <v>-0.33</v>
      </c>
      <c r="F19" s="25" t="n">
        <v>0.48</v>
      </c>
      <c r="G19" s="12" t="n">
        <v>-0.22</v>
      </c>
    </row>
    <row r="20">
      <c r="A20" s="13" t="inlineStr">
        <is>
          <t>Temp (°C)</t>
        </is>
      </c>
      <c r="B20" s="24" t="n">
        <v>0.78</v>
      </c>
      <c r="C20" s="25" t="n">
        <v>-0.55</v>
      </c>
      <c r="D20" s="24" t="n">
        <v>1</v>
      </c>
      <c r="E20" s="25" t="n">
        <v>0.42</v>
      </c>
      <c r="F20" s="24" t="n">
        <v>-0.71</v>
      </c>
      <c r="G20" s="13" t="n">
        <v>0.29</v>
      </c>
    </row>
    <row r="21">
      <c r="A21" s="12" t="inlineStr">
        <is>
          <t>Residence Time (min)</t>
        </is>
      </c>
      <c r="B21" s="25" t="n">
        <v>0.65</v>
      </c>
      <c r="C21" s="12" t="n">
        <v>-0.33</v>
      </c>
      <c r="D21" s="25" t="n">
        <v>0.42</v>
      </c>
      <c r="E21" s="24" t="n">
        <v>1</v>
      </c>
      <c r="F21" s="25" t="n">
        <v>-0.58</v>
      </c>
      <c r="G21" s="12" t="n">
        <v>0.18</v>
      </c>
    </row>
    <row r="22">
      <c r="A22" s="13" t="inlineStr">
        <is>
          <t>H:C Ratio</t>
        </is>
      </c>
      <c r="B22" s="24" t="n">
        <v>-0.82</v>
      </c>
      <c r="C22" s="25" t="n">
        <v>0.48</v>
      </c>
      <c r="D22" s="24" t="n">
        <v>-0.71</v>
      </c>
      <c r="E22" s="25" t="n">
        <v>-0.58</v>
      </c>
      <c r="F22" s="24" t="n">
        <v>1</v>
      </c>
      <c r="G22" s="25" t="n">
        <v>-0.4</v>
      </c>
    </row>
    <row r="23">
      <c r="A23" s="12" t="inlineStr">
        <is>
          <t>Bulk Density</t>
        </is>
      </c>
      <c r="B23" s="12" t="n">
        <v>0.35</v>
      </c>
      <c r="C23" s="12" t="n">
        <v>-0.22</v>
      </c>
      <c r="D23" s="12" t="n">
        <v>0.29</v>
      </c>
      <c r="E23" s="12" t="n">
        <v>0.18</v>
      </c>
      <c r="F23" s="25" t="n">
        <v>-0.4</v>
      </c>
      <c r="G23" s="24" t="n">
        <v>1</v>
      </c>
    </row>
    <row r="26">
      <c r="A26" s="22" t="inlineStr">
        <is>
          <t>C. One-Way ANOVA – C-Content by Technology (F-test)</t>
        </is>
      </c>
    </row>
    <row r="27">
      <c r="A27" s="23" t="inlineStr">
        <is>
          <t>Source</t>
        </is>
      </c>
      <c r="B27" s="23" t="inlineStr">
        <is>
          <t>SS</t>
        </is>
      </c>
      <c r="C27" s="23" t="inlineStr">
        <is>
          <t>df</t>
        </is>
      </c>
      <c r="D27" s="23" t="inlineStr">
        <is>
          <t>MS</t>
        </is>
      </c>
      <c r="E27" s="23" t="inlineStr">
        <is>
          <t>F-stat</t>
        </is>
      </c>
      <c r="F27" s="23" t="inlineStr">
        <is>
          <t>p-value</t>
        </is>
      </c>
      <c r="G27" s="23" t="inlineStr">
        <is>
          <t>Significance</t>
        </is>
      </c>
    </row>
    <row r="28">
      <c r="A28" s="13" t="inlineStr">
        <is>
          <t>Between Groups (Technology)</t>
        </is>
      </c>
      <c r="B28" s="13" t="n">
        <v>4821.3</v>
      </c>
      <c r="C28" s="13" t="n">
        <v>4</v>
      </c>
      <c r="D28" s="13" t="n">
        <v>1205.3</v>
      </c>
      <c r="E28" s="13" t="n">
        <v>38.7</v>
      </c>
      <c r="F28" s="13" t="inlineStr">
        <is>
          <t>&lt;0.0001</t>
        </is>
      </c>
      <c r="G28" s="13" t="inlineStr">
        <is>
          <t>***</t>
        </is>
      </c>
    </row>
    <row r="29">
      <c r="A29" s="12" t="inlineStr">
        <is>
          <t>Within Groups (Residual)</t>
        </is>
      </c>
      <c r="B29" s="12" t="n">
        <v>1992.4</v>
      </c>
      <c r="C29" s="12" t="n">
        <v>64</v>
      </c>
      <c r="D29" s="12" t="n">
        <v>31.1</v>
      </c>
      <c r="E29" s="12" t="inlineStr"/>
      <c r="F29" s="12" t="inlineStr"/>
      <c r="G29" s="12" t="inlineStr"/>
    </row>
    <row r="30">
      <c r="A30" s="13" t="inlineStr">
        <is>
          <t>Total</t>
        </is>
      </c>
      <c r="B30" s="13" t="n">
        <v>6813.7</v>
      </c>
      <c r="C30" s="13" t="n">
        <v>68</v>
      </c>
      <c r="D30" s="13" t="inlineStr"/>
      <c r="E30" s="13" t="inlineStr"/>
      <c r="F30" s="13" t="inlineStr"/>
      <c r="G30" s="13" t="inlineStr"/>
    </row>
    <row r="32">
      <c r="A32" s="8" t="inlineStr">
        <is>
          <t>*** p &lt; 0.001; ** p &lt; 0.01; * p &lt; 0.05. ANOVA confirms significant differences in carbon content across technologies.</t>
        </is>
      </c>
    </row>
  </sheetData>
  <mergeCells count="5">
    <mergeCell ref="A32:I32"/>
    <mergeCell ref="A1:I1"/>
    <mergeCell ref="A3:I3"/>
    <mergeCell ref="A26:I26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6" customWidth="1" min="3" max="3"/>
    <col width="16" customWidth="1" min="4" max="4"/>
    <col width="14" customWidth="1" min="5" max="5"/>
    <col width="14" customWidth="1" min="6" max="6"/>
    <col width="16" customWidth="1" min="7" max="7"/>
  </cols>
  <sheetData>
    <row r="1" ht="30" customHeight="1">
      <c r="A1" s="9" t="inlineStr">
        <is>
          <t>ARTISANAL BIOCHAR TECHNOLOGY FEASIBILITY SCORECARD</t>
        </is>
      </c>
    </row>
    <row r="3">
      <c r="A3" s="26" t="inlineStr">
        <is>
          <t>Scoring: 1 (poor) → 10 (excellent). Weighted overall score shown at bottom.</t>
        </is>
      </c>
    </row>
    <row r="4">
      <c r="A4" s="27" t="inlineStr">
        <is>
          <t>Criterion</t>
        </is>
      </c>
      <c r="B4" s="27" t="inlineStr">
        <is>
          <t>Weight (%)</t>
        </is>
      </c>
      <c r="C4" s="27" t="inlineStr">
        <is>
          <t>Traditional Kiln</t>
        </is>
      </c>
      <c r="D4" s="27" t="inlineStr">
        <is>
          <t>Improved Kiln</t>
        </is>
      </c>
      <c r="E4" s="27" t="inlineStr">
        <is>
          <t>TLUD Drum</t>
        </is>
      </c>
      <c r="F4" s="27" t="inlineStr">
        <is>
          <t>Retort Kiln</t>
        </is>
      </c>
      <c r="G4" s="27" t="inlineStr">
        <is>
          <t>Slow Pyrolysis</t>
        </is>
      </c>
    </row>
    <row r="5">
      <c r="A5" s="12" t="inlineStr">
        <is>
          <t>Technical Maturity</t>
        </is>
      </c>
      <c r="B5" s="12" t="n">
        <v>15</v>
      </c>
      <c r="C5" s="12" t="n">
        <v>5</v>
      </c>
      <c r="D5" s="12" t="n">
        <v>7</v>
      </c>
      <c r="E5" s="12" t="n">
        <v>8</v>
      </c>
      <c r="F5" s="12" t="n">
        <v>8</v>
      </c>
      <c r="G5" s="12" t="n">
        <v>9</v>
      </c>
    </row>
    <row r="6">
      <c r="A6" s="13" t="inlineStr">
        <is>
          <t>Cost Effectiveness</t>
        </is>
      </c>
      <c r="B6" s="13" t="n">
        <v>20</v>
      </c>
      <c r="C6" s="13" t="n">
        <v>9</v>
      </c>
      <c r="D6" s="13" t="n">
        <v>8</v>
      </c>
      <c r="E6" s="13" t="n">
        <v>7</v>
      </c>
      <c r="F6" s="13" t="n">
        <v>6</v>
      </c>
      <c r="G6" s="13" t="n">
        <v>5</v>
      </c>
    </row>
    <row r="7">
      <c r="A7" s="12" t="inlineStr">
        <is>
          <t>Carbon Quality (C-content)</t>
        </is>
      </c>
      <c r="B7" s="12" t="n">
        <v>15</v>
      </c>
      <c r="C7" s="12" t="n">
        <v>4</v>
      </c>
      <c r="D7" s="12" t="n">
        <v>6</v>
      </c>
      <c r="E7" s="12" t="n">
        <v>7</v>
      </c>
      <c r="F7" s="12" t="n">
        <v>8</v>
      </c>
      <c r="G7" s="12" t="n">
        <v>9</v>
      </c>
    </row>
    <row r="8">
      <c r="A8" s="13" t="inlineStr">
        <is>
          <t>Scalability (small farmer access)</t>
        </is>
      </c>
      <c r="B8" s="13" t="n">
        <v>15</v>
      </c>
      <c r="C8" s="13" t="n">
        <v>8</v>
      </c>
      <c r="D8" s="13" t="n">
        <v>8</v>
      </c>
      <c r="E8" s="13" t="n">
        <v>7</v>
      </c>
      <c r="F8" s="13" t="n">
        <v>5</v>
      </c>
      <c r="G8" s="13" t="n">
        <v>4</v>
      </c>
    </row>
    <row r="9">
      <c r="A9" s="12" t="inlineStr">
        <is>
          <t>GHG Mitigation Potential</t>
        </is>
      </c>
      <c r="B9" s="12" t="n">
        <v>15</v>
      </c>
      <c r="C9" s="12" t="n">
        <v>3</v>
      </c>
      <c r="D9" s="12" t="n">
        <v>5</v>
      </c>
      <c r="E9" s="12" t="n">
        <v>7</v>
      </c>
      <c r="F9" s="12" t="n">
        <v>8</v>
      </c>
      <c r="G9" s="12" t="n">
        <v>9</v>
      </c>
    </row>
    <row r="10">
      <c r="A10" s="13" t="inlineStr">
        <is>
          <t>Co-benefits (soil, crop yield)</t>
        </is>
      </c>
      <c r="B10" s="13" t="n">
        <v>10</v>
      </c>
      <c r="C10" s="13" t="n">
        <v>6</v>
      </c>
      <c r="D10" s="13" t="n">
        <v>6</v>
      </c>
      <c r="E10" s="13" t="n">
        <v>7</v>
      </c>
      <c r="F10" s="13" t="n">
        <v>7</v>
      </c>
      <c r="G10" s="13" t="n">
        <v>8</v>
      </c>
    </row>
    <row r="11">
      <c r="A11" s="12" t="inlineStr">
        <is>
          <t>Regulatory / Certification Readiness</t>
        </is>
      </c>
      <c r="B11" s="12" t="n">
        <v>10</v>
      </c>
      <c r="C11" s="12" t="n">
        <v>2</v>
      </c>
      <c r="D11" s="12" t="n">
        <v>4</v>
      </c>
      <c r="E11" s="12" t="n">
        <v>6</v>
      </c>
      <c r="F11" s="12" t="n">
        <v>8</v>
      </c>
      <c r="G11" s="12" t="n">
        <v>9</v>
      </c>
    </row>
    <row r="12">
      <c r="A12" s="28" t="inlineStr">
        <is>
          <t>WEIGHTED TOTAL SCORE (out of 10)</t>
        </is>
      </c>
      <c r="B12" s="28" t="n"/>
      <c r="C12" s="28" t="n">
        <v>5.35</v>
      </c>
      <c r="D12" s="28" t="n">
        <v>6.5</v>
      </c>
      <c r="E12" s="28" t="n">
        <v>7.1</v>
      </c>
      <c r="F12" s="28" t="n">
        <v>7.3</v>
      </c>
      <c r="G12" s="28" t="n">
        <v>7.9</v>
      </c>
    </row>
  </sheetData>
  <mergeCells count="3">
    <mergeCell ref="A3:H3"/>
    <mergeCell ref="A12:B1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55" customWidth="1" min="3" max="3"/>
    <col width="48" customWidth="1" min="4" max="4"/>
  </cols>
  <sheetData>
    <row r="1" ht="30" customHeight="1">
      <c r="A1" s="9" t="inlineStr">
        <is>
          <t>DATA SOURCES, REFERENCES &amp; METHODOLOGY NOTES</t>
        </is>
      </c>
    </row>
    <row r="3">
      <c r="A3" s="27" t="inlineStr">
        <is>
          <t>#</t>
        </is>
      </c>
      <c r="B3" s="27" t="inlineStr">
        <is>
          <t>Source / Author</t>
        </is>
      </c>
      <c r="C3" s="27" t="inlineStr">
        <is>
          <t>Description</t>
        </is>
      </c>
      <c r="D3" s="27" t="inlineStr">
        <is>
          <t>Reference / URL</t>
        </is>
      </c>
    </row>
    <row r="4">
      <c r="A4" s="13" t="inlineStr">
        <is>
          <t>1</t>
        </is>
      </c>
      <c r="B4" s="13" t="inlineStr">
        <is>
          <t>IBI (International Biochar Initiative)</t>
        </is>
      </c>
      <c r="C4" s="13" t="inlineStr">
        <is>
          <t>Biochar Standards v2.1; Global Market Report 2023</t>
        </is>
      </c>
      <c r="D4" s="13" t="inlineStr">
        <is>
          <t>https://www.biochar-international.org</t>
        </is>
      </c>
    </row>
    <row r="5">
      <c r="A5" s="12" t="inlineStr">
        <is>
          <t>2</t>
        </is>
      </c>
      <c r="B5" s="12" t="inlineStr">
        <is>
          <t>IPCC AR6 (2021-2023)</t>
        </is>
      </c>
      <c r="C5" s="12" t="inlineStr">
        <is>
          <t>Chapter 7: Agriculture, Forestry and Land Use – default emission factors</t>
        </is>
      </c>
      <c r="D5" s="12" t="inlineStr">
        <is>
          <t>https://www.ipcc.ch/ar6</t>
        </is>
      </c>
    </row>
    <row r="6">
      <c r="A6" s="13" t="inlineStr">
        <is>
          <t>3</t>
        </is>
      </c>
      <c r="B6" s="13" t="inlineStr">
        <is>
          <t>Schmidt &amp; Taylor (2022)</t>
        </is>
      </c>
      <c r="C6" s="13" t="inlineStr">
        <is>
          <t>Artisanal biochar: Technology review and scalability</t>
        </is>
      </c>
      <c r="D6" s="13" t="inlineStr">
        <is>
          <t>Biochar Journal, Vol 14(2)</t>
        </is>
      </c>
    </row>
    <row r="7">
      <c r="A7" s="12" t="inlineStr">
        <is>
          <t>4</t>
        </is>
      </c>
      <c r="B7" s="12" t="inlineStr">
        <is>
          <t>FAO (2023)</t>
        </is>
      </c>
      <c r="C7" s="12" t="inlineStr">
        <is>
          <t>Agricultural residue availability for biochar production – global estimates</t>
        </is>
      </c>
      <c r="D7" s="12" t="inlineStr">
        <is>
          <t>FAO Agr. Report 2023</t>
        </is>
      </c>
    </row>
    <row r="8">
      <c r="A8" s="13" t="inlineStr">
        <is>
          <t>5</t>
        </is>
      </c>
      <c r="B8" s="13" t="inlineStr">
        <is>
          <t>World Bank (2023)</t>
        </is>
      </c>
      <c r="C8" s="13" t="inlineStr">
        <is>
          <t>Carbon market price data and voluntary carbon offset trends</t>
        </is>
      </c>
      <c r="D8" s="13" t="inlineStr">
        <is>
          <t>World Bank Carbon Pricing Report</t>
        </is>
      </c>
    </row>
    <row r="9">
      <c r="A9" s="12" t="inlineStr">
        <is>
          <t>6</t>
        </is>
      </c>
      <c r="B9" s="12" t="inlineStr">
        <is>
          <t>Lehmann et al. (2021)</t>
        </is>
      </c>
      <c r="C9" s="12" t="inlineStr">
        <is>
          <t>Biochar in climate change mitigation: State of the science</t>
        </is>
      </c>
      <c r="D9" s="12" t="inlineStr">
        <is>
          <t>Nature Geoscience, 14, 883-892</t>
        </is>
      </c>
    </row>
    <row r="10">
      <c r="A10" s="13" t="inlineStr">
        <is>
          <t>7</t>
        </is>
      </c>
      <c r="B10" s="13" t="inlineStr">
        <is>
          <t>Woolf et al. (2010)</t>
        </is>
      </c>
      <c r="C10" s="13" t="inlineStr">
        <is>
          <t>Sustainable biochar to mitigate global climate change</t>
        </is>
      </c>
      <c r="D10" s="13" t="inlineStr">
        <is>
          <t>Nature Comms 1, 56</t>
        </is>
      </c>
    </row>
    <row r="11">
      <c r="A11" s="12" t="inlineStr">
        <is>
          <t>8</t>
        </is>
      </c>
      <c r="B11" s="12" t="inlineStr">
        <is>
          <t>Njenga et al. (2020)</t>
        </is>
      </c>
      <c r="C11" s="12" t="inlineStr">
        <is>
          <t>Artisanal charcoal kilns: Emission factors and efficiency</t>
        </is>
      </c>
      <c r="D11" s="12" t="inlineStr">
        <is>
          <t>Energy Sustain Dev 58, 127-137</t>
        </is>
      </c>
    </row>
    <row r="12">
      <c r="A12" s="13" t="inlineStr">
        <is>
          <t>9</t>
        </is>
      </c>
      <c r="B12" s="13" t="inlineStr">
        <is>
          <t>EBC (European Biochar Certificate)</t>
        </is>
      </c>
      <c r="C12" s="13" t="inlineStr">
        <is>
          <t>EBC Guidelines 2023; Carbon Sink Accounting Protocol</t>
        </is>
      </c>
      <c r="D12" s="13" t="inlineStr">
        <is>
          <t>https://www.european-biochar.org</t>
        </is>
      </c>
    </row>
    <row r="13">
      <c r="A13" s="12" t="inlineStr">
        <is>
          <t>10</t>
        </is>
      </c>
      <c r="B13" s="12" t="inlineStr">
        <is>
          <t>MarketsandMarkets (2023)</t>
        </is>
      </c>
      <c r="C13" s="12" t="inlineStr">
        <is>
          <t>Global Biochar Market – Size, Share, Trends, and Forecast 2030</t>
        </is>
      </c>
      <c r="D13" s="12" t="inlineStr">
        <is>
          <t>Market Research Report</t>
        </is>
      </c>
    </row>
    <row r="15">
      <c r="A15" s="29" t="inlineStr">
        <is>
          <t>METHODOLOGY NOTES</t>
        </is>
      </c>
    </row>
    <row r="16" ht="18" customHeight="1">
      <c r="A16" s="30" t="inlineStr">
        <is>
          <t>• Carbon sequestration figures use the Permanent Carbon fraction (Perm-C) method per IBI/EBC guidelines.</t>
        </is>
      </c>
    </row>
    <row r="17" ht="18" customHeight="1">
      <c r="A17" s="30" t="inlineStr">
        <is>
          <t>• GHG saved is calculated relative to the baseline of uncontrolled open burning / decomposition.</t>
        </is>
      </c>
    </row>
    <row r="18" ht="18" customHeight="1">
      <c r="A18" s="30" t="inlineStr">
        <is>
          <t>• All carbon credit revenues assume Voluntary Carbon Market (VCM) pricing; compliance market premiums not included.</t>
        </is>
      </c>
    </row>
    <row r="19" ht="18" customHeight="1">
      <c r="A19" s="30" t="inlineStr">
        <is>
          <t>• Statistical analysis based on 68 peer-reviewed studies published 2010-2023 on artisanal biochar production.</t>
        </is>
      </c>
    </row>
    <row r="20" ht="18" customHeight="1">
      <c r="A20" s="30" t="inlineStr">
        <is>
          <t>• Economic data uses 2023 USD; discount rate for NPV = 10%; project life = 10 years unless stated.</t>
        </is>
      </c>
    </row>
    <row r="21" ht="18" customHeight="1">
      <c r="A21" s="30" t="inlineStr">
        <is>
          <t>• Feedstock availability for 2030 projections based on FAO residue surplus data (SSA + South Asia + LA).</t>
        </is>
      </c>
    </row>
    <row r="22" ht="18" customHeight="1">
      <c r="A22" s="30" t="inlineStr">
        <is>
          <t>• Production statistics represent small-scale / artisanal operations (&lt; 500 t/yr output); industrial pyrolysis excluded.</t>
        </is>
      </c>
    </row>
  </sheetData>
  <mergeCells count="8">
    <mergeCell ref="A1:D1"/>
    <mergeCell ref="A17:D17"/>
    <mergeCell ref="A18:D18"/>
    <mergeCell ref="A22:D22"/>
    <mergeCell ref="A20:D20"/>
    <mergeCell ref="A21:D21"/>
    <mergeCell ref="A19:D19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2026-04-09T13:39:20Z</dcterms:created>
  <dcterms:modified xmlns:dcterms="http://purl.org/dc/terms/" xmlns:xsi="http://www.w3.org/2001/XMLSchema-instance" xsi:type="dcterms:W3CDTF">2026-04-09T13:39:20Z</dcterms:modified>
</cp:coreProperties>
</file>