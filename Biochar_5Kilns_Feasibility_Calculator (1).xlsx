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Summary" sheetId="3" state="visible" r:id="rId5"/>
    <sheet name="CapEx" sheetId="4" state="visible" r:id="rId6"/>
    <sheet name="OpEx" sheetId="5" state="visible" r:id="rId7"/>
    <sheet name="Revenue" sheetId="6" state="visible" r:id="rId8"/>
    <sheet name="CashFlow" sheetId="7" state="visible" r:id="rId9"/>
    <sheet name="NPV" sheetId="8" state="visible" r:id="rId10"/>
    <sheet name="Sensitivit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<sst xmlns="http://schemas.openxmlformats.org/spreadsheetml/2006/main" count="710" uniqueCount="524">
  <si>
    <t xml:space="preserve">ARTISANAL BIOCHAR PROJECT</t>
  </si>
  <si>
    <t xml:space="preserve">Economic &amp; Financial Feasibility Calculator</t>
  </si>
  <si>
    <t xml:space="preserve">5 Kon-Tiki Kilns | CSI Global Artisan C-Sink Certified | India Context</t>
  </si>
  <si>
    <t xml:space="preserve">Project Type</t>
  </si>
  <si>
    <t xml:space="preserve">Artisanal Biochar Production &amp; Carbon Credit Project</t>
  </si>
  <si>
    <t xml:space="preserve">Technology</t>
  </si>
  <si>
    <t xml:space="preserve">Kon-Tiki Flame Curtain Pyrolysis (CSI §4.1 Eligible)</t>
  </si>
  <si>
    <t xml:space="preserve">Scale</t>
  </si>
  <si>
    <t xml:space="preserve">5 Kilns × 1,500 Litre Capacity</t>
  </si>
  <si>
    <t xml:space="preserve">Location</t>
  </si>
  <si>
    <t xml:space="preserve">Gujarat, India (Dabhoi Context)</t>
  </si>
  <si>
    <t xml:space="preserve">Standard</t>
  </si>
  <si>
    <t xml:space="preserve">CSI Global Artisan C-Sink v1.0 (2024) | WBC v1.1 (2024)</t>
  </si>
  <si>
    <t xml:space="preserve">Feedstock</t>
  </si>
  <si>
    <t xml:space="preserve">Cotton Stalks (50%) | Rice Husk (30%) | Bagasse (20%)</t>
  </si>
  <si>
    <t xml:space="preserve">Project Life</t>
  </si>
  <si>
    <t xml:space="preserve">10 Years (2025–2035)</t>
  </si>
  <si>
    <t xml:space="preserve">Prepared by</t>
  </si>
  <si>
    <t xml:space="preserve">Research &amp; Operations Analyst</t>
  </si>
  <si>
    <t xml:space="preserve">Date</t>
  </si>
  <si>
    <t xml:space="preserve">April 2026</t>
  </si>
  <si>
    <t xml:space="preserve">WORKBOOK NAVIGATION GUIDE</t>
  </si>
  <si>
    <t xml:space="preserve">📋 Inputs</t>
  </si>
  <si>
    <t xml:space="preserve">All yellow cells = changeable assumptions. Change here → all sheets update automatically.</t>
  </si>
  <si>
    <t xml:space="preserve">📊 Summary</t>
  </si>
  <si>
    <t xml:space="preserve">Executive dashboard — all KPIs in one view. No formulas to understand — just read.</t>
  </si>
  <si>
    <t xml:space="preserve">💰 CapEx</t>
  </si>
  <si>
    <t xml:space="preserve">Capital investment breakdown. All costs formula-linked to Inputs.</t>
  </si>
  <si>
    <t xml:space="preserve">⚙️ OpEx</t>
  </si>
  <si>
    <t xml:space="preserve">Annual operating costs. Formula-linked to Inputs (biomass price × volume etc.)</t>
  </si>
  <si>
    <t xml:space="preserve">📈 Revenue</t>
  </si>
  <si>
    <t xml:space="preserve">Carbon credits + biochar product sales. Formula-linked to Inputs.</t>
  </si>
  <si>
    <t xml:space="preserve">💵 Cash Flow</t>
  </si>
  <si>
    <t xml:space="preserve">Year-by-year P&amp;L, EBITDA, cumulative cash. All from CapEx/OpEx/Revenue sheets.</t>
  </si>
  <si>
    <t xml:space="preserve">📉 NPV Analysis</t>
  </si>
  <si>
    <t xml:space="preserve">NPV, IRR, Payback — formula-calculated from Cash Flow sheet.</t>
  </si>
  <si>
    <t xml:space="preserve">🔬 Sensitivity</t>
  </si>
  <si>
    <t xml:space="preserve">Change one variable → see impact on NPV/Payback. Scenario toggle.</t>
  </si>
  <si>
    <t xml:space="preserve">COLOUR LEGEND</t>
  </si>
  <si>
    <t xml:space="preserve">Blue text = Input / Assumption (you can change these)</t>
  </si>
  <si>
    <t xml:space="preserve">Black text = Formula (auto-calculated — do not edit)</t>
  </si>
  <si>
    <t xml:space="preserve">Dark green text = Value pulled from another sheet</t>
  </si>
  <si>
    <t xml:space="preserve">Red background = Warning / Negative value / Break-even alert</t>
  </si>
  <si>
    <t xml:space="preserve">INPUTS — ALL ASSUMPTIONS (Change yellow cells to update entire model)</t>
  </si>
  <si>
    <t xml:space="preserve">🔵 Blue text = your input   ⚫ Black = auto-calculated   🟡 Yellow cell = editable</t>
  </si>
  <si>
    <t xml:space="preserve">#</t>
  </si>
  <si>
    <t xml:space="preserve">Parameter</t>
  </si>
  <si>
    <t xml:space="preserve">Value</t>
  </si>
  <si>
    <t xml:space="preserve">Unit</t>
  </si>
  <si>
    <t xml:space="preserve">Explanation / Note</t>
  </si>
  <si>
    <t xml:space="preserve">Source</t>
  </si>
  <si>
    <t xml:space="preserve">Min</t>
  </si>
  <si>
    <t xml:space="preserve">Max</t>
  </si>
  <si>
    <t xml:space="preserve">A.  PROJECT SCALE &amp; TECHNOLOGY</t>
  </si>
  <si>
    <t xml:space="preserve">A1</t>
  </si>
  <si>
    <t xml:space="preserve">Number of Kon-Tiki Kilns</t>
  </si>
  <si>
    <t xml:space="preserve">kilns</t>
  </si>
  <si>
    <t xml:space="preserve">5 × 1,500L Kon-Tiki — CSI §4.1 eligible</t>
  </si>
  <si>
    <t xml:space="preserve">Project design</t>
  </si>
  <si>
    <t xml:space="preserve">A2</t>
  </si>
  <si>
    <t xml:space="preserve">Kiln Volume per Unit</t>
  </si>
  <si>
    <t xml:space="preserve">litres</t>
  </si>
  <si>
    <t xml:space="preserve">Standard Kon-Tiki deep-cone kiln</t>
  </si>
  <si>
    <t xml:space="preserve">Ithaka 2014</t>
  </si>
  <si>
    <t xml:space="preserve">A3</t>
  </si>
  <si>
    <t xml:space="preserve">Operating Days per Year</t>
  </si>
  <si>
    <t xml:space="preserve">days/yr</t>
  </si>
  <si>
    <t xml:space="preserve">280 days — excludes ~85 monsoon days</t>
  </si>
  <si>
    <t xml:space="preserve">Field estimate</t>
  </si>
  <si>
    <t xml:space="preserve">A4</t>
  </si>
  <si>
    <t xml:space="preserve">Batches per Day per Kiln</t>
  </si>
  <si>
    <t xml:space="preserve">batches</t>
  </si>
  <si>
    <t xml:space="preserve">1 batch = 4–6 hr burn cycle</t>
  </si>
  <si>
    <t xml:space="preserve">Ithaka Institute</t>
  </si>
  <si>
    <t xml:space="preserve">A5</t>
  </si>
  <si>
    <t xml:space="preserve">Biomass Feed per Batch (wet basis)</t>
  </si>
  <si>
    <t xml:space="preserve">kg/batch</t>
  </si>
  <si>
    <t xml:space="preserve">600 kg per kiln per batch at 15% moisture</t>
  </si>
  <si>
    <t xml:space="preserve">Field data</t>
  </si>
  <si>
    <t xml:space="preserve">A6</t>
  </si>
  <si>
    <t xml:space="preserve">Moisture Content of Feedstock</t>
  </si>
  <si>
    <t xml:space="preserve">fraction</t>
  </si>
  <si>
    <t xml:space="preserve">15% — ideal for pyrolysis</t>
  </si>
  <si>
    <t xml:space="preserve">EBC v10.5</t>
  </si>
  <si>
    <t xml:space="preserve">A7</t>
  </si>
  <si>
    <t xml:space="preserve">Biochar Yield (% of dry biomass)</t>
  </si>
  <si>
    <t xml:space="preserve">20% — conservative; Kon-Tiki range 17–25%</t>
  </si>
  <si>
    <t xml:space="preserve">Cornelissen 2016</t>
  </si>
  <si>
    <t xml:space="preserve">A8</t>
  </si>
  <si>
    <t xml:space="preserve">Organic Carbon Content of Biochar</t>
  </si>
  <si>
    <t xml:space="preserve">Corg 72% — EBC-Agro class (min 60%)</t>
  </si>
  <si>
    <t xml:space="preserve">WBC v1.1 2024</t>
  </si>
  <si>
    <t xml:space="preserve">A9</t>
  </si>
  <si>
    <t xml:space="preserve">Stable Carbon Fraction (PAC)</t>
  </si>
  <si>
    <t xml:space="preserve">Pyrogenic stable fraction — H/Corg &lt; 0.7</t>
  </si>
  <si>
    <t xml:space="preserve">Schmidt 2022</t>
  </si>
  <si>
    <t xml:space="preserve">A10</t>
  </si>
  <si>
    <t xml:space="preserve">CO2e per tonne Biochar</t>
  </si>
  <si>
    <t xml:space="preserve">tCO2e/t</t>
  </si>
  <si>
    <t xml:space="preserve">—</t>
  </si>
  <si>
    <t xml:space="preserve">CSI C-Sink Std</t>
  </si>
  <si>
    <t xml:space="preserve">B.  BIOMASS SUPPLY &amp; FEEDSTOCK (Indian Context)</t>
  </si>
  <si>
    <t xml:space="preserve">B1</t>
  </si>
  <si>
    <t xml:space="preserve">Cotton Stalk Share</t>
  </si>
  <si>
    <t xml:space="preserve">%</t>
  </si>
  <si>
    <t xml:space="preserve">Gujarat/Maharashtra — ~500 kg/acre yield</t>
  </si>
  <si>
    <t xml:space="preserve">Field</t>
  </si>
  <si>
    <t xml:space="preserve">0.3</t>
  </si>
  <si>
    <t xml:space="preserve">0.7</t>
  </si>
  <si>
    <t xml:space="preserve">B2</t>
  </si>
  <si>
    <t xml:space="preserve">Rice Husk Share</t>
  </si>
  <si>
    <t xml:space="preserve">Punjab/UP/Bengal — mill gate supply</t>
  </si>
  <si>
    <t xml:space="preserve">0.1</t>
  </si>
  <si>
    <t xml:space="preserve">0.5</t>
  </si>
  <si>
    <t xml:space="preserve">B3</t>
  </si>
  <si>
    <t xml:space="preserve">Sugarcane Bagasse Share</t>
  </si>
  <si>
    <t xml:space="preserve">UP/Maharashtra/Karnataka sugar mills</t>
  </si>
  <si>
    <t xml:space="preserve">0.4</t>
  </si>
  <si>
    <t xml:space="preserve">B4</t>
  </si>
  <si>
    <t xml:space="preserve">Cotton Stalk Price</t>
  </si>
  <si>
    <t xml:space="preserve">₹/tonne</t>
  </si>
  <si>
    <t xml:space="preserve">Farm gate, Gujarat — ex-transport</t>
  </si>
  <si>
    <t xml:space="preserve">IndiaMART 2025</t>
  </si>
  <si>
    <t xml:space="preserve">600</t>
  </si>
  <si>
    <t xml:space="preserve">1100</t>
  </si>
  <si>
    <t xml:space="preserve">B5</t>
  </si>
  <si>
    <t xml:space="preserve">Rice Husk Price</t>
  </si>
  <si>
    <t xml:space="preserve">Mill gate price</t>
  </si>
  <si>
    <t xml:space="preserve">300</t>
  </si>
  <si>
    <t xml:space="preserve">B6</t>
  </si>
  <si>
    <t xml:space="preserve">Sugarcane Bagasse Price</t>
  </si>
  <si>
    <t xml:space="preserve">Co-product from mills</t>
  </si>
  <si>
    <t xml:space="preserve">200</t>
  </si>
  <si>
    <t xml:space="preserve">450</t>
  </si>
  <si>
    <t xml:space="preserve">B7</t>
  </si>
  <si>
    <t xml:space="preserve">Transport Cost (biomass)</t>
  </si>
  <si>
    <t xml:space="preserve">Avg 30–50 km radius</t>
  </si>
  <si>
    <t xml:space="preserve">500</t>
  </si>
  <si>
    <t xml:space="preserve">B8</t>
  </si>
  <si>
    <t xml:space="preserve">Blended Biomass Price</t>
  </si>
  <si>
    <t xml:space="preserve">Calc</t>
  </si>
  <si>
    <t xml:space="preserve">C.  REVENUE &amp; CARBON CREDIT ASSUMPTIONS</t>
  </si>
  <si>
    <t xml:space="preserve">C1</t>
  </si>
  <si>
    <t xml:space="preserve">Carbon Credit Price — Conservative</t>
  </si>
  <si>
    <t xml:space="preserve">USD/tCO2e</t>
  </si>
  <si>
    <t xml:space="preserve">Low: India artisanal discount</t>
  </si>
  <si>
    <t xml:space="preserve">S&amp;P Global Nov 2025</t>
  </si>
  <si>
    <t xml:space="preserve">80</t>
  </si>
  <si>
    <t xml:space="preserve">120</t>
  </si>
  <si>
    <t xml:space="preserve">C2</t>
  </si>
  <si>
    <t xml:space="preserve">Carbon Credit Price — Base Case</t>
  </si>
  <si>
    <t xml:space="preserve">S&amp;P Platts assessed: India CSI artisanal</t>
  </si>
  <si>
    <t xml:space="preserve">150</t>
  </si>
  <si>
    <t xml:space="preserve">C3</t>
  </si>
  <si>
    <t xml:space="preserve">Carbon Credit Price — Premium</t>
  </si>
  <si>
    <t xml:space="preserve">EBC-Agro Premium quality biochar</t>
  </si>
  <si>
    <t xml:space="preserve">Sylvera 2025</t>
  </si>
  <si>
    <t xml:space="preserve">220</t>
  </si>
  <si>
    <t xml:space="preserve">C4</t>
  </si>
  <si>
    <t xml:space="preserve">Active Scenario Price</t>
  </si>
  <si>
    <t xml:space="preserve">Change C1/C2/C3 above to switch scenario</t>
  </si>
  <si>
    <t xml:space="preserve">Inputs</t>
  </si>
  <si>
    <t xml:space="preserve">C5</t>
  </si>
  <si>
    <t xml:space="preserve">USD to INR Exchange Rate</t>
  </si>
  <si>
    <t xml:space="preserve">INR/USD</t>
  </si>
  <si>
    <t xml:space="preserve">April 2026 RBI rate</t>
  </si>
  <si>
    <t xml:space="preserve">RBI 2026</t>
  </si>
  <si>
    <t xml:space="preserve">90</t>
  </si>
  <si>
    <t xml:space="preserve">C6</t>
  </si>
  <si>
    <t xml:space="preserve">Biochar Product Sale Price</t>
  </si>
  <si>
    <t xml:space="preserve">Soil amendment market — India</t>
  </si>
  <si>
    <t xml:space="preserve">Market survey</t>
  </si>
  <si>
    <t xml:space="preserve">5000</t>
  </si>
  <si>
    <t xml:space="preserve">25000</t>
  </si>
  <si>
    <t xml:space="preserve">C7</t>
  </si>
  <si>
    <t xml:space="preserve">% of Biochar Sold as Product</t>
  </si>
  <si>
    <t xml:space="preserve">70% sold; 30% applied on own land</t>
  </si>
  <si>
    <t xml:space="preserve">Assumption</t>
  </si>
  <si>
    <t xml:space="preserve">1.0</t>
  </si>
  <si>
    <t xml:space="preserve">C8</t>
  </si>
  <si>
    <t xml:space="preserve">Brokerage / Platform Fee</t>
  </si>
  <si>
    <t xml:space="preserve">10% of carbon revenue to CSI/broker</t>
  </si>
  <si>
    <t xml:space="preserve">CSI standard</t>
  </si>
  <si>
    <t xml:space="preserve">0.08</t>
  </si>
  <si>
    <t xml:space="preserve">0.15</t>
  </si>
  <si>
    <t xml:space="preserve">C9</t>
  </si>
  <si>
    <t xml:space="preserve">Non-Permanence Buffer</t>
  </si>
  <si>
    <t xml:space="preserve">10% of credits to CSI buffer pool</t>
  </si>
  <si>
    <t xml:space="preserve">CSI Artisan §3</t>
  </si>
  <si>
    <t xml:space="preserve">0.25</t>
  </si>
  <si>
    <t xml:space="preserve">D.  FINANCIAL &amp; TAX ASSUMPTIONS</t>
  </si>
  <si>
    <t xml:space="preserve">D1</t>
  </si>
  <si>
    <t xml:space="preserve">Discount Rate (for NPV)</t>
  </si>
  <si>
    <t xml:space="preserve">Standard for India agri-climate project</t>
  </si>
  <si>
    <t xml:space="preserve">CGEM/IFC</t>
  </si>
  <si>
    <t xml:space="preserve">D2</t>
  </si>
  <si>
    <t xml:space="preserve">Income Tax Rate</t>
  </si>
  <si>
    <t xml:space="preserve">India corporate tax (small company)</t>
  </si>
  <si>
    <t xml:space="preserve">IT Act India</t>
  </si>
  <si>
    <t xml:space="preserve">0.22</t>
  </si>
  <si>
    <t xml:space="preserve">D3</t>
  </si>
  <si>
    <t xml:space="preserve">years</t>
  </si>
  <si>
    <t xml:space="preserve">CSI minimum 10-year commitment</t>
  </si>
  <si>
    <t xml:space="preserve">CSI Artisan C-Sink</t>
  </si>
  <si>
    <t xml:space="preserve">10</t>
  </si>
  <si>
    <t xml:space="preserve">20</t>
  </si>
  <si>
    <t xml:space="preserve">D4</t>
  </si>
  <si>
    <t xml:space="preserve">Ramp-Up Year 1 Capacity</t>
  </si>
  <si>
    <t xml:space="preserve">60% in Year 1 — CSI certification delay</t>
  </si>
  <si>
    <t xml:space="preserve">Project plan</t>
  </si>
  <si>
    <t xml:space="preserve">0.8</t>
  </si>
  <si>
    <t xml:space="preserve">D5</t>
  </si>
  <si>
    <t xml:space="preserve">Ramp-Up Year 2 Capacity</t>
  </si>
  <si>
    <t xml:space="preserve">80% in Year 2</t>
  </si>
  <si>
    <t xml:space="preserve">0.9</t>
  </si>
  <si>
    <t xml:space="preserve">D6</t>
  </si>
  <si>
    <t xml:space="preserve">Full Capacity (Year 3+)</t>
  </si>
  <si>
    <t xml:space="preserve">100% from Year 3 onwards</t>
  </si>
  <si>
    <t xml:space="preserve">1.2</t>
  </si>
  <si>
    <t xml:space="preserve">D7</t>
  </si>
  <si>
    <t xml:space="preserve">Annual Growth Factor (Yr 4+)</t>
  </si>
  <si>
    <t xml:space="preserve">No growth assumed — conservative</t>
  </si>
  <si>
    <t xml:space="preserve">Conservative</t>
  </si>
  <si>
    <t xml:space="preserve">1.1</t>
  </si>
  <si>
    <t xml:space="preserve">ARTISANAL BIOCHAR PROJECT — EXECUTIVE SUMMARY DASHBOARD</t>
  </si>
  <si>
    <t xml:space="preserve">All figures auto-calculated from Inputs sheet. Change Inputs → this dashboard updates instantly.</t>
  </si>
  <si>
    <t xml:space="preserve">PROJECT AT A GLANCE  (Steady State — Year 3+)</t>
  </si>
  <si>
    <t xml:space="preserve">Conservative
(USD 100/t)</t>
  </si>
  <si>
    <t xml:space="preserve">Base Case
(USD 135/t)</t>
  </si>
  <si>
    <t xml:space="preserve">Premium
(USD 187/t)</t>
  </si>
  <si>
    <t xml:space="preserve">Source / Formula</t>
  </si>
  <si>
    <t xml:space="preserve">Number of Kilns</t>
  </si>
  <si>
    <t xml:space="preserve">Inputs A1</t>
  </si>
  <si>
    <t xml:space="preserve">Annual Biochar Production</t>
  </si>
  <si>
    <t xml:space="preserve">tonnes/yr</t>
  </si>
  <si>
    <t xml:space="preserve">CapEx sheet</t>
  </si>
  <si>
    <t xml:space="preserve">Annual Carbon Credits</t>
  </si>
  <si>
    <t xml:space="preserve">tCO2e/yr</t>
  </si>
  <si>
    <t xml:space="preserve">Revenue sheet</t>
  </si>
  <si>
    <t xml:space="preserve">Annual Biomass Required</t>
  </si>
  <si>
    <t xml:space="preserve">Total CapEx</t>
  </si>
  <si>
    <t xml:space="preserve">₹ Lakhs</t>
  </si>
  <si>
    <t xml:space="preserve">Annual OpEx</t>
  </si>
  <si>
    <t xml:space="preserve">OpEx sheet</t>
  </si>
  <si>
    <t xml:space="preserve">Total Annual Revenue</t>
  </si>
  <si>
    <t xml:space="preserve">EBITDA</t>
  </si>
  <si>
    <t xml:space="preserve">CashFlow sheet</t>
  </si>
  <si>
    <t xml:space="preserve">Net Profit After Tax</t>
  </si>
  <si>
    <t xml:space="preserve">Payback Period</t>
  </si>
  <si>
    <t xml:space="preserve">NPV sheet</t>
  </si>
  <si>
    <t xml:space="preserve">NPV (12% discount rate)</t>
  </si>
  <si>
    <t xml:space="preserve">IRR</t>
  </si>
  <si>
    <t xml:space="preserve">ROI (PAT/CapEx)</t>
  </si>
  <si>
    <t xml:space="preserve">Break-Even Carbon Price</t>
  </si>
  <si>
    <t xml:space="preserve">CO2e Removed (10 yrs)</t>
  </si>
  <si>
    <t xml:space="preserve">tCO2e</t>
  </si>
  <si>
    <t xml:space="preserve">KEY MILESTONES</t>
  </si>
  <si>
    <t xml:space="preserve">Month 1–3</t>
  </si>
  <si>
    <t xml:space="preserve">Legal registration, site preparation, kiln fabrication</t>
  </si>
  <si>
    <t xml:space="preserve">Month 3–4</t>
  </si>
  <si>
    <t xml:space="preserve">CSI C-Sink Manager appointment &amp; training</t>
  </si>
  <si>
    <t xml:space="preserve">Month 4–5</t>
  </si>
  <si>
    <t xml:space="preserve">First production burns, initial lab analysis (WBC/EBC)</t>
  </si>
  <si>
    <t xml:space="preserve">Month 5–6</t>
  </si>
  <si>
    <t xml:space="preserve">CSI certifier inspection &amp; accreditation</t>
  </si>
  <si>
    <t xml:space="preserve">Month 6–12</t>
  </si>
  <si>
    <t xml:space="preserve">Year 1 production at 60% capacity, batch MRV in CSI Registry</t>
  </si>
  <si>
    <t xml:space="preserve">Month 8–10</t>
  </si>
  <si>
    <t xml:space="preserve">First carbon credit issuance (if eligible post-audit)</t>
  </si>
  <si>
    <t xml:space="preserve">Month 12</t>
  </si>
  <si>
    <t xml:space="preserve">Annual CSI audit, recertification, Year 2 planning</t>
  </si>
  <si>
    <t xml:space="preserve">Year 2</t>
  </si>
  <si>
    <t xml:space="preserve">Ramp to 80% capacity, first full-year credit sale</t>
  </si>
  <si>
    <t xml:space="preserve">Year 3+</t>
  </si>
  <si>
    <t xml:space="preserve">Full capacity, stable revenue, optional kiln expansion</t>
  </si>
  <si>
    <t xml:space="preserve">CAPITAL EXPENDITURE — INVESTMENT REQUIRED</t>
  </si>
  <si>
    <t xml:space="preserve">Production volume in C3:C4 used across all financial sheets. All costs linked to Inputs sheet.</t>
  </si>
  <si>
    <t xml:space="preserve">DERIVED PRODUCTION METRICS (from Inputs)</t>
  </si>
  <si>
    <t xml:space="preserve">Ref</t>
  </si>
  <si>
    <t xml:space="preserve">Metric</t>
  </si>
  <si>
    <t xml:space="preserve">Formula Used</t>
  </si>
  <si>
    <t xml:space="preserve">Source Sheet</t>
  </si>
  <si>
    <t xml:space="preserve">P1</t>
  </si>
  <si>
    <t xml:space="preserve">Dry Biomass per Batch</t>
  </si>
  <si>
    <t xml:space="preserve">Feed × (1 - moisture fraction) = dry biomass kg</t>
  </si>
  <si>
    <t xml:space="preserve">Inputs A5, A6</t>
  </si>
  <si>
    <t xml:space="preserve">P2</t>
  </si>
  <si>
    <t xml:space="preserve">Biochar per Batch</t>
  </si>
  <si>
    <t xml:space="preserve">Dry biomass × yield fraction = biochar kg per batch</t>
  </si>
  <si>
    <t xml:space="preserve">Inputs A7</t>
  </si>
  <si>
    <t xml:space="preserve">P3</t>
  </si>
  <si>
    <t xml:space="preserve">Annual Biochar (100%)</t>
  </si>
  <si>
    <t xml:space="preserve">t/yr</t>
  </si>
  <si>
    <t xml:space="preserve">Kilns × days × batches × biochar/batch ÷ 1000 = t/yr</t>
  </si>
  <si>
    <t xml:space="preserve">Inputs A1–A4,P2</t>
  </si>
  <si>
    <t xml:space="preserve">P4</t>
  </si>
  <si>
    <t xml:space="preserve">Annual Biomass Reqd</t>
  </si>
  <si>
    <t xml:space="preserve">t/yr (wet)</t>
  </si>
  <si>
    <t xml:space="preserve">Annual biochar ÷ yield% ÷ (1−moisture) = wet biomass t/yr</t>
  </si>
  <si>
    <t xml:space="preserve">Inputs A6,A7</t>
  </si>
  <si>
    <t xml:space="preserve">P5</t>
  </si>
  <si>
    <t xml:space="preserve">CO2e Factor</t>
  </si>
  <si>
    <t xml:space="preserve">tCO2e/t biochar</t>
  </si>
  <si>
    <t xml:space="preserve">Corg% × PAC% × 44/12  [pulled from Inputs A10]</t>
  </si>
  <si>
    <t xml:space="preserve">Inputs A10</t>
  </si>
  <si>
    <t xml:space="preserve">P6</t>
  </si>
  <si>
    <t xml:space="preserve">Annual Credits (100%)</t>
  </si>
  <si>
    <t xml:space="preserve">Annual biochar t × CO2e factor = tCO2e/yr</t>
  </si>
  <si>
    <t xml:space="preserve">P3 × P5</t>
  </si>
  <si>
    <t xml:space="preserve">CAPITAL INVESTMENT BREAKDOWN (₹)</t>
  </si>
  <si>
    <t xml:space="preserve">Item</t>
  </si>
  <si>
    <t xml:space="preserve">Amount (₹)</t>
  </si>
  <si>
    <t xml:space="preserve">Basis / Notes</t>
  </si>
  <si>
    <t xml:space="preserve">Fixed/Variable</t>
  </si>
  <si>
    <t xml:space="preserve">Year Incurred</t>
  </si>
  <si>
    <t xml:space="preserve">Kon-Tiki Kilns</t>
  </si>
  <si>
    <t xml:space="preserve">5 kilns × ₹45,000 each (mild steel,1500L)</t>
  </si>
  <si>
    <t xml:space="preserve">Fixed</t>
  </si>
  <si>
    <t xml:space="preserve">Year 0</t>
  </si>
  <si>
    <t xml:space="preserve">Biomass Storage Shed</t>
  </si>
  <si>
    <t xml:space="preserve">₹30,000 per kiln — pro-rata shed</t>
  </si>
  <si>
    <t xml:space="preserve">Biochar Storage Area</t>
  </si>
  <si>
    <t xml:space="preserve">Covered yard, ₹10,000/kiln</t>
  </si>
  <si>
    <t xml:space="preserve">Water &amp; Quench System</t>
  </si>
  <si>
    <t xml:space="preserve">₹15,000/kiln — tank + pump</t>
  </si>
  <si>
    <t xml:space="preserve">Weighing &amp; Lab Equip</t>
  </si>
  <si>
    <t xml:space="preserve">Digital scales, pH/moisture kits — lump sum</t>
  </si>
  <si>
    <t xml:space="preserve">MRV Setup (CSI App)</t>
  </si>
  <si>
    <t xml:space="preserve">Smartphones + CSI training — lump sum</t>
  </si>
  <si>
    <t xml:space="preserve">CSI Registration Yr 1</t>
  </si>
  <si>
    <t xml:space="preserve">~€2,500 — C-Sink Mgr training + cert</t>
  </si>
  <si>
    <t xml:space="preserve">Working Capital</t>
  </si>
  <si>
    <t xml:space="preserve">3 months OpEx float — from OpEx sheet</t>
  </si>
  <si>
    <t xml:space="preserve">Variable</t>
  </si>
  <si>
    <t xml:space="preserve">Contingency (10%)</t>
  </si>
  <si>
    <t xml:space="preserve">10% of all above items</t>
  </si>
  <si>
    <t xml:space="preserve">C10</t>
  </si>
  <si>
    <t xml:space="preserve">TOTAL CAPEX</t>
  </si>
  <si>
    <t xml:space="preserve">Sum of all capital items</t>
  </si>
  <si>
    <t xml:space="preserve">ANNUAL OPERATING EXPENDITURE — FULL CAPACITY (Year 3+)</t>
  </si>
  <si>
    <t xml:space="preserve">All variable costs are formula-linked to Inputs sheet. Change Inputs → OpEx updates automatically.</t>
  </si>
  <si>
    <t xml:space="preserve">ANNUAL OPERATING COSTS (₹ per year at 100% Capacity)</t>
  </si>
  <si>
    <t xml:space="preserve">Cost Item</t>
  </si>
  <si>
    <t xml:space="preserve">Annual Cost (₹)</t>
  </si>
  <si>
    <t xml:space="preserve">Calculation Formula</t>
  </si>
  <si>
    <t xml:space="preserve">Type</t>
  </si>
  <si>
    <t xml:space="preserve">Ref Sheet</t>
  </si>
  <si>
    <t xml:space="preserve">O1</t>
  </si>
  <si>
    <t xml:space="preserve">Biomass Procurement</t>
  </si>
  <si>
    <t xml:space="preserve">Annual Biomass (CapEx C8) × Blended Price (Inputs C23)</t>
  </si>
  <si>
    <t xml:space="preserve">Inputs B4–B8</t>
  </si>
  <si>
    <t xml:space="preserve">O2</t>
  </si>
  <si>
    <t xml:space="preserve">Biomass Transport</t>
  </si>
  <si>
    <t xml:space="preserve">Annual Biomass (CapEx C8) × Transport Rate (Inputs C22)</t>
  </si>
  <si>
    <t xml:space="preserve">Inputs B7</t>
  </si>
  <si>
    <t xml:space="preserve">O3</t>
  </si>
  <si>
    <t xml:space="preserve">Labour — 4 Operators</t>
  </si>
  <si>
    <t xml:space="preserve">4 operators × ₹12,000/month × 12 months</t>
  </si>
  <si>
    <t xml:space="preserve">O4</t>
  </si>
  <si>
    <t xml:space="preserve">C-Sink Manager</t>
  </si>
  <si>
    <t xml:space="preserve">1 CSI manager × ₹30,000/month × 12 months</t>
  </si>
  <si>
    <t xml:space="preserve">CSI Req</t>
  </si>
  <si>
    <t xml:space="preserve">O5</t>
  </si>
  <si>
    <t xml:space="preserve">CSI Annual Recertif.</t>
  </si>
  <si>
    <t xml:space="preserve">Fixed annual CSI fee — ~€800</t>
  </si>
  <si>
    <t xml:space="preserve">CSI Artisan</t>
  </si>
  <si>
    <t xml:space="preserve">O6</t>
  </si>
  <si>
    <t xml:space="preserve">Utilities</t>
  </si>
  <si>
    <t xml:space="preserve">Water and minimal electrical for artisanal operation</t>
  </si>
  <si>
    <t xml:space="preserve">Estimate</t>
  </si>
  <si>
    <t xml:space="preserve">O7</t>
  </si>
  <si>
    <t xml:space="preserve">Maintenance &amp; Repairs</t>
  </si>
  <si>
    <t xml:space="preserve">5% × Kon-Tiki kiln capital cost (CapEx C13)</t>
  </si>
  <si>
    <t xml:space="preserve">CapEx C1</t>
  </si>
  <si>
    <t xml:space="preserve">O8</t>
  </si>
  <si>
    <t xml:space="preserve">Lab Analysis (2×/yr)</t>
  </si>
  <si>
    <t xml:space="preserve">PAH + heavy metals + Corg — WBC v1.1 mandatory 2×/yr</t>
  </si>
  <si>
    <t xml:space="preserve">WBC v1.1</t>
  </si>
  <si>
    <t xml:space="preserve">O9</t>
  </si>
  <si>
    <t xml:space="preserve">Insurance &amp; Admin</t>
  </si>
  <si>
    <t xml:space="preserve">Business insurance + bookkeeping</t>
  </si>
  <si>
    <t xml:space="preserve">O10</t>
  </si>
  <si>
    <t xml:space="preserve">Brokerage Fee</t>
  </si>
  <si>
    <t xml:space="preserve">Carbon revenue (Revenue C12) × brokerage % (Inputs C32)</t>
  </si>
  <si>
    <t xml:space="preserve">Revenue,Inputs C8</t>
  </si>
  <si>
    <t xml:space="preserve">O11</t>
  </si>
  <si>
    <t xml:space="preserve">TOTAL ANNUAL OPEX</t>
  </si>
  <si>
    <t xml:space="preserve">Sum of all operating costs above</t>
  </si>
  <si>
    <t xml:space="preserve">REVENUE PROJECTIONS — CARBON CREDITS + BIOCHAR PRODUCT SALES</t>
  </si>
  <si>
    <t xml:space="preserve">Three scenarios shown. All cross-linked to Inputs. Carbon credits calculated per CSI C-Sink methodology.</t>
  </si>
  <si>
    <t xml:space="preserve">ANNUAL REVENUE COMPONENTS (₹ per year at 100% Capacity)</t>
  </si>
  <si>
    <t xml:space="preserve">Revenue Component</t>
  </si>
  <si>
    <t xml:space="preserve">Conservative
(USD 100)</t>
  </si>
  <si>
    <t xml:space="preserve">Formula / Basis</t>
  </si>
  <si>
    <t xml:space="preserve">Base Case
(USD 135)</t>
  </si>
  <si>
    <t xml:space="preserve">Premium
(USD 187)</t>
  </si>
  <si>
    <t xml:space="preserve">R1</t>
  </si>
  <si>
    <t xml:space="preserve">Biochar Production (t/yr)</t>
  </si>
  <si>
    <t xml:space="preserve">← Formula shown in col C; Base/Premium in cols E, G</t>
  </si>
  <si>
    <t xml:space="preserve">Same</t>
  </si>
  <si>
    <t xml:space="preserve">R2</t>
  </si>
  <si>
    <t xml:space="preserve">CO2e Factor (tCO2e/t)</t>
  </si>
  <si>
    <t xml:space="preserve">R3</t>
  </si>
  <si>
    <t xml:space="preserve">Annual Gross Credits</t>
  </si>
  <si>
    <t xml:space="preserve">R4</t>
  </si>
  <si>
    <t xml:space="preserve">Buffer Pool Deduction</t>
  </si>
  <si>
    <t xml:space="preserve">R5</t>
  </si>
  <si>
    <t xml:space="preserve">Net Sellable Credits</t>
  </si>
  <si>
    <t xml:space="preserve">R6</t>
  </si>
  <si>
    <t xml:space="preserve">Credit Price (USD/t)</t>
  </si>
  <si>
    <t xml:space="preserve">Credit price from Inputs C1/C2/C3</t>
  </si>
  <si>
    <t xml:space="preserve">Inputs C2</t>
  </si>
  <si>
    <t xml:space="preserve">R7</t>
  </si>
  <si>
    <t xml:space="preserve">FX Rate (INR/USD)</t>
  </si>
  <si>
    <t xml:space="preserve">FX rate from Inputs C5</t>
  </si>
  <si>
    <t xml:space="preserve">R8</t>
  </si>
  <si>
    <t xml:space="preserve">Carbon Credit Revenue (₹)</t>
  </si>
  <si>
    <t xml:space="preserve">R9</t>
  </si>
  <si>
    <t xml:space="preserve">Biochar Product Revenue (₹)</t>
  </si>
  <si>
    <t xml:space="preserve">R10</t>
  </si>
  <si>
    <t xml:space="preserve">Less: Brokerage (₹)</t>
  </si>
  <si>
    <t xml:space="preserve">R11</t>
  </si>
  <si>
    <t xml:space="preserve">TOTAL NET REVENUE (₹)</t>
  </si>
  <si>
    <t xml:space="preserve">YEAR-BY-YEAR CASH FLOW &amp; P&amp;L STATEMENT (10 Years)</t>
  </si>
  <si>
    <t xml:space="preserve">All cells formula-linked to Inputs, CapEx, OpEx, Revenue. Capacity utilisation follows Inputs D4–D7.</t>
  </si>
  <si>
    <t xml:space="preserve">STEADY-STATE ANNUAL P&amp;L (Year 3+) — Summary Metrics</t>
  </si>
  <si>
    <t xml:space="preserve">Base Case</t>
  </si>
  <si>
    <t xml:space="preserve">Premium</t>
  </si>
  <si>
    <t xml:space="preserve">Notes</t>
  </si>
  <si>
    <t xml:space="preserve">Total Revenue</t>
  </si>
  <si>
    <t xml:space="preserve">From Revenue sheet</t>
  </si>
  <si>
    <t xml:space="preserve">Total OpEx</t>
  </si>
  <si>
    <t xml:space="preserve">From OpEx sheet</t>
  </si>
  <si>
    <t xml:space="preserve">≈ revenue − OpEx</t>
  </si>
  <si>
    <t xml:space="preserve">Depreciation</t>
  </si>
  <si>
    <t xml:space="preserve">≈ capex ÷ Life</t>
  </si>
  <si>
    <t xml:space="preserve">EBIT</t>
  </si>
  <si>
    <t xml:space="preserve">≈ ebitda − Dep</t>
  </si>
  <si>
    <t xml:space="preserve">Income Tax (25%)</t>
  </si>
  <si>
    <t xml:space="preserve">≈ ebit × Tax Rate (if positive)</t>
  </si>
  <si>
    <t xml:space="preserve">≈ ebit − Tax</t>
  </si>
  <si>
    <t xml:space="preserve">Free Cash Flow</t>
  </si>
  <si>
    <t xml:space="preserve">≈ pat + depreciation</t>
  </si>
  <si>
    <t xml:space="preserve">10-YEAR ANNUAL CASH FLOW — BASE CASE (₹ Lakhs)</t>
  </si>
  <si>
    <t xml:space="preserve">Line Item</t>
  </si>
  <si>
    <t xml:space="preserve">Formula Basis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</si>
  <si>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</si>
  <si>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</si>
  <si>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</si>
  <si>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</si>
  <si>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</si>
  <si>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</si>
  <si>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</si>
  <si>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</si>
  <si>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</si>
  <si>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</si>
  <si>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10-Yr Total</t>
  </si>
  <si>
    <t xml:space="preserve">Capacity Utilisation %</t>
  </si>
  <si>
    <t xml:space="preserve">Inputs D4–D7</t>
  </si>
  <si>
    <t xml:space="preserve">Biochar Production (t)</t>
  </si>
  <si>
    <t xml:space="preserve">≈ full × Utilisation</t>
  </si>
  <si>
    <t xml:space="preserve">Carbon Credits (tCO2e)</t>
  </si>
  <si>
    <t xml:space="preserve">≈ biochar × CO2e factor × Net</t>
  </si>
  <si>
    <t xml:space="preserve">Revenue — Carbon Credits (₹L)</t>
  </si>
  <si>
    <t xml:space="preserve">≈ credits × USD price × FX ÷ 1L</t>
  </si>
  <si>
    <t xml:space="preserve">Revenue — Biochar Sales (₹L)</t>
  </si>
  <si>
    <t xml:space="preserve">≈ biochar × Price × % sold ÷ 1L</t>
  </si>
  <si>
    <t xml:space="preserve">TOTAL REVENUE (₹L)</t>
  </si>
  <si>
    <t xml:space="preserve">≈ credit rev + biochar rev</t>
  </si>
  <si>
    <t xml:space="preserve">Operating Expenditure (₹L)</t>
  </si>
  <si>
    <t xml:space="preserve">≈ opex × Utilisation ÷ 1L</t>
  </si>
  <si>
    <t xml:space="preserve">EBITDA (₹L)</t>
  </si>
  <si>
    <t xml:space="preserve">Depreciation (₹L)</t>
  </si>
  <si>
    <t xml:space="preserve">≈ capex ÷ Life ÷ 1L</t>
  </si>
  <si>
    <t xml:space="preserve">EBIT (₹L)</t>
  </si>
  <si>
    <t xml:space="preserve">≈ ebitda − Depreciation</t>
  </si>
  <si>
    <t xml:space="preserve">Tax (₹L)</t>
  </si>
  <si>
    <t xml:space="preserve">≈ ebit × 25% (if positive)</t>
  </si>
  <si>
    <t xml:space="preserve">NET PROFIT (₹L)</t>
  </si>
  <si>
    <t xml:space="preserve">Free Cash Flow (₹L)</t>
  </si>
  <si>
    <t xml:space="preserve">Cumulative Cash Flow (₹L)</t>
  </si>
  <si>
    <t xml:space="preserve">≈ running total fcf</t>
  </si>
  <si>
    <t xml:space="preserve">CapEx (₹L) [Year 0 only]</t>
  </si>
  <si>
    <t xml:space="preserve">≈ total capex in yr 0 only</t>
  </si>
  <si>
    <t xml:space="preserve">Net Project Cash Flow (₹L)</t>
  </si>
  <si>
    <t xml:space="preserve">≈ fcf − CapEx outflow</t>
  </si>
  <si>
    <t xml:space="preserve">NPV, IRR &amp; PAYBACK PERIOD ANALYSIS</t>
  </si>
  <si>
    <t xml:space="preserve">All metrics formula-calculated from CashFlow sheet. Change any input → results update automatically.</t>
  </si>
  <si>
    <t xml:space="preserve">FINANCIAL VIABILITY METRICS</t>
  </si>
  <si>
    <t xml:space="preserve">NPV (@ Inputs D1 rate)</t>
  </si>
  <si>
    <t xml:space="preserve">Formula linked to CashFlow/OpEx/Revenue</t>
  </si>
  <si>
    <t xml:space="preserve">Break-Even Biochar Volume</t>
  </si>
  <si>
    <t xml:space="preserve">EBITDA Margin</t>
  </si>
  <si>
    <t xml:space="preserve">Total CO2e Removed (10 yr)</t>
  </si>
  <si>
    <t xml:space="preserve">SENSITIVITY: NPV vs. CARBON CREDIT PRICE (Base Case Inputs)</t>
  </si>
  <si>
    <t xml:space="preserve">Annual Credits</t>
  </si>
  <si>
    <t xml:space="preserve">Annual Revenue (₹L)</t>
  </si>
  <si>
    <t xml:space="preserve">Payback (yrs)</t>
  </si>
  <si>
    <t xml:space="preserve">NPV (₹L)</t>
  </si>
  <si>
    <t xml:space="preserve">SCENARIO &amp; SENSITIVITY ANALYSIS — WHAT-IF CALCULATOR</t>
  </si>
  <si>
    <t xml:space="preserve">Change the yellow cells below to model different scenarios. All outputs auto-update from Inputs sheet.</t>
  </si>
  <si>
    <t xml:space="preserve">SCENARIO COMPARISON — SIX KEY SCENARIOS</t>
  </si>
  <si>
    <t xml:space="preserve">Scenario</t>
  </si>
  <si>
    <t xml:space="preserve">Credit Price
(USD/t)</t>
  </si>
  <si>
    <t xml:space="preserve">Kilns</t>
  </si>
  <si>
    <t xml:space="preserve">Annual Credits
(tCO2e)</t>
  </si>
  <si>
    <t xml:space="preserve">Total Rev
(₹ Lakhs)</t>
  </si>
  <si>
    <t xml:space="preserve">EBITDA
(₹ Lakhs)</t>
  </si>
  <si>
    <t xml:space="preserve">Payback
(years)</t>
  </si>
  <si>
    <t xml:space="preserve">🔴 Worst Case</t>
  </si>
  <si>
    <t xml:space="preserve">🟡 Conservative</t>
  </si>
  <si>
    <t xml:space="preserve">🟢 Base Case (5 Kln)</t>
  </si>
  <si>
    <t xml:space="preserve">🔵 Optimistic</t>
  </si>
  <si>
    <t xml:space="preserve">⭐ Premium Quality</t>
  </si>
  <si>
    <t xml:space="preserve">🚀 Scaled Up (10 Kln)</t>
  </si>
  <si>
    <t xml:space="preserve">KEY CONCLUSIONS</t>
  </si>
  <si>
    <t xml:space="preserve">✅ Project is financially viable at Base Case (USD 135/t) — payback ~5–6 years with 5 kilns</t>
  </si>
  <si>
    <t xml:space="preserve">⚠️  Conservative scenario (USD 100/t) achieves breakeven but limited upside — quality upgrade critical</t>
  </si>
  <si>
    <t xml:space="preserve">🎯  Achieving EBC-Agro Premium quality (Corg &gt; 72%, H/Corg &lt; 0.7) unlocks USD 164–187/t pricing</t>
  </si>
  <si>
    <t xml:space="preserve">💡  Scaling to 10 kilns at premium pricing — payback reduces to under 3 years</t>
  </si>
  <si>
    <t xml:space="preserve">🌱  CO2e removed over 10 years: ~3,800–4,200 tCO2e — permanent durable removal (CSI certified)</t>
  </si>
  <si>
    <t xml:space="preserve">🏭  Biochar product sales provide critical revenue floor independent of carbon market sentiment</t>
  </si>
  <si>
    <t xml:space="preserve">🇮🇳  India artisanal credits assessed by S&amp;P Global Platts at USD 125–135/tCO2e (Nov 2025)</t>
  </si>
  <si>
    <t xml:space="preserve">📋  CSI C-Sink Manager + artisan training = mandatory before first credit can be issued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</si>
</sst>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0%"/>
    <numFmt numFmtId="167" formatCode="0.000"/>
    <numFmt numFmtId="168" formatCode="@"/>
    <numFmt numFmtId="169" formatCode="0%"/>
    <numFmt numFmtId="170" formatCode="0.0%"/>
    <numFmt numFmtId="171" formatCode="#,##0.00"/>
    <numFmt numFmtId="172" formatCode="#,##0.0"/>
    <numFmt numFmtId="173" formatCode="\₹#,##0.00"/>
    <numFmt numFmtId="174" formatCode="#,##0.1"/>
    <numFmt numFmtId="175" formatCode="\₹#,##0"/>
    <numFmt numFmtId="176" formatCode="\₹#,##0"/>
    <numFmt numFmtId="177" formatCode="#,##0.000"/>
    <numFmt numFmtId="178" formatCode="\$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Times New Roman"/>
      <family val="0"/>
      <charset val="1"/>
    </font>
    <font>
      <b val="true"/>
      <i val="true"/>
      <sz val="28"/>
      <color rgb="FFFFFFFF"/>
      <name val="Times New Roman"/>
      <family val="0"/>
      <charset val="1"/>
    </font>
    <font>
      <b val="true"/>
      <i val="true"/>
      <sz val="18"/>
      <color rgb="FFFFFFFF"/>
      <name val="Times New Roman"/>
      <family val="0"/>
      <charset val="1"/>
    </font>
    <font>
      <i val="true"/>
      <sz val="11"/>
      <color rgb="FFC8E6C9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0"/>
      <color rgb="FF1F5C2E"/>
      <name val="Times New Roman"/>
      <family val="0"/>
      <charset val="1"/>
    </font>
    <font>
      <sz val="10"/>
      <color rgb="FF37474F"/>
      <name val="Times New Roman"/>
      <family val="0"/>
      <charset val="1"/>
    </font>
    <font>
      <sz val="10"/>
      <color rgb="FF1565C0"/>
      <name val="Times New Roman"/>
      <family val="0"/>
      <charset val="1"/>
    </font>
    <font>
      <sz val="10"/>
      <color rgb="FF1B5E20"/>
      <name val="Times New Roman"/>
      <family val="0"/>
      <charset val="1"/>
    </font>
    <font>
      <sz val="10"/>
      <color rgb="FFB71C1C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i val="true"/>
      <sz val="10"/>
      <color rgb="FF37474F"/>
      <name val="Times New Roman"/>
      <family val="0"/>
      <charset val="1"/>
    </font>
    <font>
      <b val="true"/>
      <sz val="10"/>
      <color rgb="FF1565C0"/>
      <name val="Times New Roman"/>
      <family val="0"/>
      <charset val="1"/>
    </font>
    <font>
      <sz val="10"/>
      <color rgb="FF546E7A"/>
      <name val="Times New Roman"/>
      <family val="0"/>
      <charset val="1"/>
    </font>
    <font>
      <b val="true"/>
      <sz val="10"/>
      <color rgb="FF1B5E20"/>
      <name val="Times New Roman"/>
      <family val="0"/>
      <charset val="1"/>
    </font>
    <font>
      <b val="true"/>
      <sz val="13"/>
      <color rgb="FFFFFFFF"/>
      <name val="Times New Roman"/>
      <family val="0"/>
      <charset val="1"/>
    </font>
    <font>
      <i val="true"/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i val="true"/>
      <sz val="9"/>
      <color rgb="FF546E7A"/>
      <name val="Times New Roman"/>
      <family val="0"/>
      <charset val="1"/>
    </font>
    <font>
      <sz val="9"/>
      <color rgb="FF546E7A"/>
      <name val="Times New Roman"/>
      <family val="0"/>
      <charset val="1"/>
    </font>
    <font>
      <sz val="10"/>
      <color rgb="FF1F5C2E"/>
      <name val="Times New Roman"/>
      <family val="0"/>
      <charset val="1"/>
    </font>
    <font>
      <sz val="10"/>
      <color rgb="FFE65100"/>
      <name val="Times New Roman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1F5C2E"/>
        <bgColor rgb="FF1B5E2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E3F2FD"/>
      </patternFill>
    </fill>
    <fill>
      <patternFill patternType="solid">
        <fgColor rgb="FF37474F"/>
        <bgColor rgb="FF1F5C2E"/>
      </patternFill>
    </fill>
    <fill>
      <patternFill patternType="solid">
        <fgColor rgb="FFF5F5F5"/>
        <bgColor rgb="FFE8F5E9"/>
      </patternFill>
    </fill>
    <fill>
      <patternFill patternType="solid">
        <fgColor rgb="FFFFF8E1"/>
        <bgColor rgb="FFF5F5F5"/>
      </patternFill>
    </fill>
    <fill>
      <patternFill patternType="solid">
        <fgColor rgb="FFFFCDD2"/>
        <bgColor rgb="FFE8EAF6"/>
      </patternFill>
    </fill>
    <fill>
      <patternFill patternType="solid">
        <fgColor rgb="FFC8E6C9"/>
        <bgColor rgb="FFE8EAF6"/>
      </patternFill>
    </fill>
    <fill>
      <patternFill patternType="solid">
        <fgColor rgb="FFE3F2FD"/>
        <bgColor rgb="FFE8EAF6"/>
      </patternFill>
    </fill>
    <fill>
      <patternFill patternType="solid">
        <fgColor rgb="FFE8EAF6"/>
        <bgColor rgb="FFE3F2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medium">
        <color rgb="FF1F5C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DBDBD"/>
      <rgbColor rgb="FF808080"/>
      <rgbColor rgb="FF9999FF"/>
      <rgbColor rgb="FFC62828"/>
      <rgbColor rgb="FFFFF8E1"/>
      <rgbColor rgb="FFE3F2FD"/>
      <rgbColor rgb="FF660066"/>
      <rgbColor rgb="FFFF8080"/>
      <rgbColor rgb="FF1565C0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5F5F5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9A825"/>
      <rgbColor rgb="FFE65100"/>
      <rgbColor rgb="FF546E7A"/>
      <rgbColor rgb="FF969696"/>
      <rgbColor rgb="FF003366"/>
      <rgbColor rgb="FF2E7D32"/>
      <rgbColor rgb="FF003300"/>
      <rgbColor rgb="FF1F5C2E"/>
      <rgbColor rgb="FFB71C1C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2E"/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5" min="3" style="1" width="20"/>
    <col collapsed="false" customWidth="true" hidden="false" outlineLevel="0" max="8" min="6" style="1" width="14"/>
  </cols>
  <sheetData>
    <row r="1" customFormat="false" ht="27.7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7.7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7.7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27.7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9.5" hidden="false" customHeight="true" outlineLevel="0" collapsed="false">
      <c r="A8" s="6" t="s">
        <v>3</v>
      </c>
      <c r="B8" s="6"/>
      <c r="C8" s="6"/>
      <c r="D8" s="7" t="s">
        <v>4</v>
      </c>
      <c r="E8" s="7"/>
      <c r="F8" s="7"/>
      <c r="G8" s="7"/>
      <c r="H8" s="7"/>
    </row>
    <row r="9" customFormat="false" ht="19.5" hidden="false" customHeight="true" outlineLevel="0" collapsed="false">
      <c r="A9" s="6" t="s">
        <v>5</v>
      </c>
      <c r="B9" s="6"/>
      <c r="C9" s="6"/>
      <c r="D9" s="7" t="s">
        <v>6</v>
      </c>
      <c r="E9" s="7"/>
      <c r="F9" s="7"/>
      <c r="G9" s="7"/>
      <c r="H9" s="7"/>
    </row>
    <row r="10" customFormat="false" ht="19.5" hidden="false" customHeight="true" outlineLevel="0" collapsed="false">
      <c r="A10" s="6" t="s">
        <v>7</v>
      </c>
      <c r="B10" s="6"/>
      <c r="C10" s="6"/>
      <c r="D10" s="7" t="s">
        <v>8</v>
      </c>
      <c r="E10" s="7"/>
      <c r="F10" s="7"/>
      <c r="G10" s="7"/>
      <c r="H10" s="7"/>
    </row>
    <row r="11" customFormat="false" ht="19.5" hidden="false" customHeight="true" outlineLevel="0" collapsed="false">
      <c r="A11" s="6" t="s">
        <v>9</v>
      </c>
      <c r="B11" s="6"/>
      <c r="C11" s="6"/>
      <c r="D11" s="7" t="s">
        <v>10</v>
      </c>
      <c r="E11" s="7"/>
      <c r="F11" s="7"/>
      <c r="G11" s="7"/>
      <c r="H11" s="7"/>
    </row>
    <row r="12" customFormat="false" ht="19.5" hidden="false" customHeight="true" outlineLevel="0" collapsed="false">
      <c r="A12" s="6" t="s">
        <v>11</v>
      </c>
      <c r="B12" s="6"/>
      <c r="C12" s="6"/>
      <c r="D12" s="7" t="s">
        <v>12</v>
      </c>
      <c r="E12" s="7"/>
      <c r="F12" s="7"/>
      <c r="G12" s="7"/>
      <c r="H12" s="7"/>
    </row>
    <row r="13" customFormat="false" ht="19.5" hidden="false" customHeight="true" outlineLevel="0" collapsed="false">
      <c r="A13" s="6" t="s">
        <v>13</v>
      </c>
      <c r="B13" s="6"/>
      <c r="C13" s="6"/>
      <c r="D13" s="7" t="s">
        <v>14</v>
      </c>
      <c r="E13" s="7"/>
      <c r="F13" s="7"/>
      <c r="G13" s="7"/>
      <c r="H13" s="7"/>
    </row>
    <row r="14" customFormat="false" ht="19.5" hidden="false" customHeight="true" outlineLevel="0" collapsed="false">
      <c r="A14" s="6" t="s">
        <v>15</v>
      </c>
      <c r="B14" s="6"/>
      <c r="C14" s="6"/>
      <c r="D14" s="7" t="s">
        <v>16</v>
      </c>
      <c r="E14" s="7"/>
      <c r="F14" s="7"/>
      <c r="G14" s="7"/>
      <c r="H14" s="7"/>
    </row>
    <row r="15" customFormat="false" ht="19.5" hidden="false" customHeight="true" outlineLevel="0" collapsed="false">
      <c r="A15" s="6" t="s">
        <v>17</v>
      </c>
      <c r="B15" s="6"/>
      <c r="C15" s="6"/>
      <c r="D15" s="7" t="s">
        <v>18</v>
      </c>
      <c r="E15" s="7"/>
      <c r="F15" s="7"/>
      <c r="G15" s="7"/>
      <c r="H15" s="7"/>
    </row>
    <row r="16" customFormat="false" ht="19.5" hidden="false" customHeight="true" outlineLevel="0" collapsed="false">
      <c r="A16" s="6" t="s">
        <v>19</v>
      </c>
      <c r="B16" s="6"/>
      <c r="C16" s="6"/>
      <c r="D16" s="7" t="s">
        <v>20</v>
      </c>
      <c r="E16" s="7"/>
      <c r="F16" s="7"/>
      <c r="G16" s="7"/>
      <c r="H16" s="7"/>
    </row>
    <row r="18" customFormat="false" ht="19.5" hidden="false" customHeight="true" outlineLevel="0" collapsed="false">
      <c r="A18" s="8" t="s">
        <v>21</v>
      </c>
      <c r="B18" s="8"/>
      <c r="C18" s="8"/>
      <c r="D18" s="8"/>
      <c r="E18" s="8"/>
      <c r="F18" s="8"/>
      <c r="G18" s="8"/>
      <c r="H18" s="8"/>
    </row>
    <row r="19" customFormat="false" ht="18" hidden="false" customHeight="true" outlineLevel="0" collapsed="false">
      <c r="A19" s="9" t="s">
        <v>22</v>
      </c>
      <c r="B19" s="9"/>
      <c r="C19" s="10" t="s">
        <v>23</v>
      </c>
      <c r="D19" s="10"/>
      <c r="E19" s="10"/>
      <c r="F19" s="10"/>
      <c r="G19" s="10"/>
      <c r="H19" s="10"/>
    </row>
    <row r="20" customFormat="false" ht="18" hidden="false" customHeight="true" outlineLevel="0" collapsed="false">
      <c r="A20" s="11" t="s">
        <v>24</v>
      </c>
      <c r="B20" s="11"/>
      <c r="C20" s="12" t="s">
        <v>25</v>
      </c>
      <c r="D20" s="12"/>
      <c r="E20" s="12"/>
      <c r="F20" s="12"/>
      <c r="G20" s="12"/>
      <c r="H20" s="12"/>
    </row>
    <row r="21" customFormat="false" ht="18" hidden="false" customHeight="true" outlineLevel="0" collapsed="false">
      <c r="A21" s="9" t="s">
        <v>26</v>
      </c>
      <c r="B21" s="9"/>
      <c r="C21" s="10" t="s">
        <v>27</v>
      </c>
      <c r="D21" s="10"/>
      <c r="E21" s="10"/>
      <c r="F21" s="10"/>
      <c r="G21" s="10"/>
      <c r="H21" s="10"/>
    </row>
    <row r="22" customFormat="false" ht="18" hidden="false" customHeight="true" outlineLevel="0" collapsed="false">
      <c r="A22" s="11" t="s">
        <v>28</v>
      </c>
      <c r="B22" s="11"/>
      <c r="C22" s="12" t="s">
        <v>29</v>
      </c>
      <c r="D22" s="12"/>
      <c r="E22" s="12"/>
      <c r="F22" s="12"/>
      <c r="G22" s="12"/>
      <c r="H22" s="12"/>
    </row>
    <row r="23" customFormat="false" ht="18" hidden="false" customHeight="true" outlineLevel="0" collapsed="false">
      <c r="A23" s="9" t="s">
        <v>30</v>
      </c>
      <c r="B23" s="9"/>
      <c r="C23" s="10" t="s">
        <v>31</v>
      </c>
      <c r="D23" s="10"/>
      <c r="E23" s="10"/>
      <c r="F23" s="10"/>
      <c r="G23" s="10"/>
      <c r="H23" s="10"/>
    </row>
    <row r="24" customFormat="false" ht="18" hidden="false" customHeight="true" outlineLevel="0" collapsed="false">
      <c r="A24" s="11" t="s">
        <v>32</v>
      </c>
      <c r="B24" s="11"/>
      <c r="C24" s="12" t="s">
        <v>33</v>
      </c>
      <c r="D24" s="12"/>
      <c r="E24" s="12"/>
      <c r="F24" s="12"/>
      <c r="G24" s="12"/>
      <c r="H24" s="12"/>
    </row>
    <row r="25" customFormat="false" ht="18" hidden="false" customHeight="true" outlineLevel="0" collapsed="false">
      <c r="A25" s="9" t="s">
        <v>34</v>
      </c>
      <c r="B25" s="9"/>
      <c r="C25" s="10" t="s">
        <v>35</v>
      </c>
      <c r="D25" s="10"/>
      <c r="E25" s="10"/>
      <c r="F25" s="10"/>
      <c r="G25" s="10"/>
      <c r="H25" s="10"/>
    </row>
    <row r="26" customFormat="false" ht="18" hidden="false" customHeight="true" outlineLevel="0" collapsed="false">
      <c r="A26" s="11" t="s">
        <v>36</v>
      </c>
      <c r="B26" s="11"/>
      <c r="C26" s="12" t="s">
        <v>37</v>
      </c>
      <c r="D26" s="12"/>
      <c r="E26" s="12"/>
      <c r="F26" s="12"/>
      <c r="G26" s="12"/>
      <c r="H26" s="12"/>
    </row>
    <row r="28" customFormat="false" ht="18" hidden="false" customHeight="true" outlineLevel="0" collapsed="false">
      <c r="A28" s="13" t="s">
        <v>38</v>
      </c>
      <c r="B28" s="13"/>
      <c r="C28" s="13"/>
      <c r="D28" s="13"/>
      <c r="E28" s="13"/>
      <c r="F28" s="13"/>
      <c r="G28" s="13"/>
      <c r="H28" s="13"/>
    </row>
    <row r="29" customFormat="false" ht="18" hidden="false" customHeight="true" outlineLevel="0" collapsed="false">
      <c r="A29" s="14" t="s">
        <v>39</v>
      </c>
      <c r="B29" s="14"/>
      <c r="C29" s="14"/>
      <c r="D29" s="14"/>
      <c r="E29" s="14"/>
      <c r="F29" s="14"/>
      <c r="G29" s="14"/>
      <c r="H29" s="14"/>
    </row>
    <row r="30" customFormat="false" ht="18" hidden="false" customHeight="true" outlineLevel="0" collapsed="false">
      <c r="A30" s="15" t="s">
        <v>40</v>
      </c>
      <c r="B30" s="15"/>
      <c r="C30" s="15"/>
      <c r="D30" s="15"/>
      <c r="E30" s="15"/>
      <c r="F30" s="15"/>
      <c r="G30" s="15"/>
      <c r="H30" s="15"/>
    </row>
    <row r="31" customFormat="false" ht="18" hidden="false" customHeight="true" outlineLevel="0" collapsed="false">
      <c r="A31" s="16" t="s">
        <v>41</v>
      </c>
      <c r="B31" s="16"/>
      <c r="C31" s="16"/>
      <c r="D31" s="16"/>
      <c r="E31" s="16"/>
      <c r="F31" s="16"/>
      <c r="G31" s="16"/>
      <c r="H31" s="16"/>
    </row>
    <row r="32" customFormat="false" ht="18" hidden="false" customHeight="true" outlineLevel="0" collapsed="false">
      <c r="A32" s="17" t="s">
        <v>42</v>
      </c>
      <c r="B32" s="17"/>
      <c r="C32" s="17"/>
      <c r="D32" s="17"/>
      <c r="E32" s="17"/>
      <c r="F32" s="17"/>
      <c r="G32" s="17"/>
      <c r="H32" s="17"/>
    </row>
  </sheetData>
  <mergeCells count="45">
    <mergeCell ref="A1:H1"/>
    <mergeCell ref="A2:H3"/>
    <mergeCell ref="A4:H5"/>
    <mergeCell ref="A6:H6"/>
    <mergeCell ref="A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8:H18"/>
    <mergeCell ref="A19:B19"/>
    <mergeCell ref="C19:H1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8:H28"/>
    <mergeCell ref="A29:H29"/>
    <mergeCell ref="A30:H30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36"/>
    <col collapsed="false" customWidth="true" hidden="false" outlineLevel="0" max="6" min="6" style="1" width="20"/>
    <col collapsed="false" customWidth="true" hidden="false" outlineLevel="0" max="8" min="7" style="1" width="10"/>
  </cols>
  <sheetData>
    <row r="1" customFormat="false" ht="25.5" hidden="false" customHeight="true" outlineLevel="0" collapsed="false">
      <c r="A1" s="18" t="s">
        <v>43</v>
      </c>
      <c r="B1" s="18"/>
      <c r="C1" s="18"/>
      <c r="D1" s="18"/>
      <c r="E1" s="18"/>
      <c r="F1" s="18"/>
      <c r="G1" s="18"/>
      <c r="H1" s="18"/>
    </row>
    <row r="2" customFormat="false" ht="18" hidden="false" customHeight="true" outlineLevel="0" collapsed="false">
      <c r="A2" s="19" t="s">
        <v>44</v>
      </c>
      <c r="B2" s="19"/>
      <c r="C2" s="19"/>
      <c r="D2" s="19"/>
      <c r="E2" s="19"/>
      <c r="F2" s="19"/>
      <c r="G2" s="19"/>
      <c r="H2" s="19"/>
    </row>
    <row r="3" customFormat="false" ht="31.5" hidden="false" customHeight="true" outlineLevel="0" collapsed="false">
      <c r="A3" s="20" t="s">
        <v>45</v>
      </c>
      <c r="B3" s="20" t="s">
        <v>46</v>
      </c>
      <c r="C3" s="20" t="s">
        <v>47</v>
      </c>
      <c r="D3" s="20" t="s">
        <v>48</v>
      </c>
      <c r="E3" s="20" t="s">
        <v>49</v>
      </c>
      <c r="F3" s="20" t="s">
        <v>50</v>
      </c>
      <c r="G3" s="20" t="s">
        <v>51</v>
      </c>
      <c r="H3" s="20" t="s">
        <v>52</v>
      </c>
    </row>
    <row r="4" customFormat="false" ht="19.5" hidden="false" customHeight="true" outlineLevel="0" collapsed="false">
      <c r="A4" s="21" t="s">
        <v>53</v>
      </c>
      <c r="B4" s="21"/>
      <c r="C4" s="21"/>
      <c r="D4" s="21"/>
      <c r="E4" s="21"/>
      <c r="F4" s="21"/>
      <c r="G4" s="21"/>
      <c r="H4" s="21"/>
    </row>
    <row r="5" customFormat="false" ht="18" hidden="false" customHeight="true" outlineLevel="0" collapsed="false">
      <c r="A5" s="22" t="s">
        <v>54</v>
      </c>
      <c r="B5" s="23" t="s">
        <v>55</v>
      </c>
      <c r="C5" s="24" t="n">
        <v>5</v>
      </c>
      <c r="D5" s="25" t="s">
        <v>56</v>
      </c>
      <c r="E5" s="26" t="s">
        <v>57</v>
      </c>
      <c r="F5" s="27" t="s">
        <v>58</v>
      </c>
      <c r="G5" s="28" t="n">
        <v>3</v>
      </c>
      <c r="H5" s="28" t="n">
        <v>20</v>
      </c>
    </row>
    <row r="6" customFormat="false" ht="18" hidden="false" customHeight="true" outlineLevel="0" collapsed="false">
      <c r="A6" s="22" t="s">
        <v>59</v>
      </c>
      <c r="B6" s="23" t="s">
        <v>60</v>
      </c>
      <c r="C6" s="24" t="n">
        <v>1500</v>
      </c>
      <c r="D6" s="25" t="s">
        <v>61</v>
      </c>
      <c r="E6" s="26" t="s">
        <v>62</v>
      </c>
      <c r="F6" s="27" t="s">
        <v>63</v>
      </c>
      <c r="G6" s="28" t="n">
        <v>500</v>
      </c>
      <c r="H6" s="28" t="n">
        <v>3000</v>
      </c>
    </row>
    <row r="7" customFormat="false" ht="18" hidden="false" customHeight="true" outlineLevel="0" collapsed="false">
      <c r="A7" s="22" t="s">
        <v>64</v>
      </c>
      <c r="B7" s="23" t="s">
        <v>65</v>
      </c>
      <c r="C7" s="24" t="n">
        <v>280</v>
      </c>
      <c r="D7" s="25" t="s">
        <v>66</v>
      </c>
      <c r="E7" s="26" t="s">
        <v>67</v>
      </c>
      <c r="F7" s="27" t="s">
        <v>68</v>
      </c>
      <c r="G7" s="28" t="n">
        <v>240</v>
      </c>
      <c r="H7" s="28" t="n">
        <v>320</v>
      </c>
    </row>
    <row r="8" customFormat="false" ht="18" hidden="false" customHeight="true" outlineLevel="0" collapsed="false">
      <c r="A8" s="22" t="s">
        <v>69</v>
      </c>
      <c r="B8" s="23" t="s">
        <v>70</v>
      </c>
      <c r="C8" s="24" t="n">
        <v>1</v>
      </c>
      <c r="D8" s="25" t="s">
        <v>71</v>
      </c>
      <c r="E8" s="26" t="s">
        <v>72</v>
      </c>
      <c r="F8" s="27" t="s">
        <v>73</v>
      </c>
      <c r="G8" s="28" t="n">
        <v>1</v>
      </c>
      <c r="H8" s="28" t="n">
        <v>2</v>
      </c>
    </row>
    <row r="9" customFormat="false" ht="18" hidden="false" customHeight="true" outlineLevel="0" collapsed="false">
      <c r="A9" s="22" t="s">
        <v>74</v>
      </c>
      <c r="B9" s="23" t="s">
        <v>75</v>
      </c>
      <c r="C9" s="24" t="n">
        <v>600</v>
      </c>
      <c r="D9" s="25" t="s">
        <v>76</v>
      </c>
      <c r="E9" s="26" t="s">
        <v>77</v>
      </c>
      <c r="F9" s="27" t="s">
        <v>78</v>
      </c>
      <c r="G9" s="28" t="n">
        <v>400</v>
      </c>
      <c r="H9" s="28" t="n">
        <v>800</v>
      </c>
    </row>
    <row r="10" customFormat="false" ht="18" hidden="false" customHeight="true" outlineLevel="0" collapsed="false">
      <c r="A10" s="22" t="s">
        <v>79</v>
      </c>
      <c r="B10" s="23" t="s">
        <v>80</v>
      </c>
      <c r="C10" s="29" t="n">
        <v>0.15</v>
      </c>
      <c r="D10" s="25" t="s">
        <v>81</v>
      </c>
      <c r="E10" s="26" t="s">
        <v>82</v>
      </c>
      <c r="F10" s="27" t="s">
        <v>83</v>
      </c>
      <c r="G10" s="28" t="n">
        <v>0.1</v>
      </c>
      <c r="H10" s="28" t="n">
        <v>0.25</v>
      </c>
    </row>
    <row r="11" customFormat="false" ht="18" hidden="false" customHeight="true" outlineLevel="0" collapsed="false">
      <c r="A11" s="22" t="s">
        <v>84</v>
      </c>
      <c r="B11" s="23" t="s">
        <v>85</v>
      </c>
      <c r="C11" s="29" t="n">
        <v>0.2</v>
      </c>
      <c r="D11" s="25" t="s">
        <v>81</v>
      </c>
      <c r="E11" s="26" t="s">
        <v>86</v>
      </c>
      <c r="F11" s="27" t="s">
        <v>87</v>
      </c>
      <c r="G11" s="28" t="n">
        <v>0.17</v>
      </c>
      <c r="H11" s="28" t="n">
        <v>0.25</v>
      </c>
    </row>
    <row r="12" customFormat="false" ht="18" hidden="false" customHeight="true" outlineLevel="0" collapsed="false">
      <c r="A12" s="22" t="s">
        <v>88</v>
      </c>
      <c r="B12" s="23" t="s">
        <v>89</v>
      </c>
      <c r="C12" s="29" t="n">
        <v>0.72</v>
      </c>
      <c r="D12" s="25" t="s">
        <v>81</v>
      </c>
      <c r="E12" s="26" t="s">
        <v>90</v>
      </c>
      <c r="F12" s="27" t="s">
        <v>91</v>
      </c>
      <c r="G12" s="28" t="n">
        <v>0.6</v>
      </c>
      <c r="H12" s="28" t="n">
        <v>0.85</v>
      </c>
    </row>
    <row r="13" customFormat="false" ht="18" hidden="false" customHeight="true" outlineLevel="0" collapsed="false">
      <c r="A13" s="22" t="s">
        <v>92</v>
      </c>
      <c r="B13" s="23" t="s">
        <v>93</v>
      </c>
      <c r="C13" s="29" t="n">
        <v>0.88</v>
      </c>
      <c r="D13" s="25" t="s">
        <v>81</v>
      </c>
      <c r="E13" s="26" t="s">
        <v>94</v>
      </c>
      <c r="F13" s="27" t="s">
        <v>95</v>
      </c>
      <c r="G13" s="28" t="n">
        <v>0.8</v>
      </c>
      <c r="H13" s="28" t="n">
        <v>0.95</v>
      </c>
    </row>
    <row r="14" customFormat="false" ht="18" hidden="false" customHeight="true" outlineLevel="0" collapsed="false">
      <c r="A14" s="22" t="s">
        <v>96</v>
      </c>
      <c r="B14" s="30" t="s">
        <v>97</v>
      </c>
      <c r="C14" s="31" t="n">
        <f aca="false">C12*C13*44/12</f>
        <v>2.3232</v>
      </c>
      <c r="D14" s="32" t="s">
        <v>98</v>
      </c>
      <c r="E14" s="33" t="s">
        <v>99</v>
      </c>
      <c r="F14" s="27" t="s">
        <v>100</v>
      </c>
      <c r="G14" s="28"/>
      <c r="H14" s="28"/>
    </row>
    <row r="15" customFormat="false" ht="19.5" hidden="false" customHeight="true" outlineLevel="0" collapsed="false">
      <c r="A15" s="21" t="s">
        <v>101</v>
      </c>
      <c r="B15" s="21"/>
      <c r="C15" s="21"/>
      <c r="D15" s="21"/>
      <c r="E15" s="21"/>
      <c r="F15" s="21"/>
      <c r="G15" s="21"/>
      <c r="H15" s="21"/>
    </row>
    <row r="16" customFormat="false" ht="18" hidden="false" customHeight="true" outlineLevel="0" collapsed="false">
      <c r="A16" s="22" t="s">
        <v>102</v>
      </c>
      <c r="B16" s="23" t="s">
        <v>103</v>
      </c>
      <c r="C16" s="34" t="n">
        <v>0.5</v>
      </c>
      <c r="D16" s="25" t="s">
        <v>104</v>
      </c>
      <c r="E16" s="26" t="s">
        <v>105</v>
      </c>
      <c r="F16" s="27" t="s">
        <v>106</v>
      </c>
      <c r="G16" s="28" t="s">
        <v>107</v>
      </c>
      <c r="H16" s="28" t="s">
        <v>108</v>
      </c>
    </row>
    <row r="17" customFormat="false" ht="18" hidden="false" customHeight="true" outlineLevel="0" collapsed="false">
      <c r="A17" s="22" t="s">
        <v>109</v>
      </c>
      <c r="B17" s="23" t="s">
        <v>110</v>
      </c>
      <c r="C17" s="34" t="n">
        <v>0.3</v>
      </c>
      <c r="D17" s="25" t="s">
        <v>104</v>
      </c>
      <c r="E17" s="26" t="s">
        <v>111</v>
      </c>
      <c r="F17" s="27" t="s">
        <v>106</v>
      </c>
      <c r="G17" s="28" t="s">
        <v>112</v>
      </c>
      <c r="H17" s="28" t="s">
        <v>113</v>
      </c>
    </row>
    <row r="18" customFormat="false" ht="18" hidden="false" customHeight="true" outlineLevel="0" collapsed="false">
      <c r="A18" s="22" t="s">
        <v>114</v>
      </c>
      <c r="B18" s="23" t="s">
        <v>115</v>
      </c>
      <c r="C18" s="34" t="n">
        <v>0.2</v>
      </c>
      <c r="D18" s="25" t="s">
        <v>104</v>
      </c>
      <c r="E18" s="26" t="s">
        <v>116</v>
      </c>
      <c r="F18" s="27" t="s">
        <v>106</v>
      </c>
      <c r="G18" s="28" t="s">
        <v>112</v>
      </c>
      <c r="H18" s="28" t="s">
        <v>117</v>
      </c>
    </row>
    <row r="19" customFormat="false" ht="18" hidden="false" customHeight="true" outlineLevel="0" collapsed="false">
      <c r="A19" s="22" t="s">
        <v>118</v>
      </c>
      <c r="B19" s="23" t="s">
        <v>119</v>
      </c>
      <c r="C19" s="24" t="n">
        <v>800</v>
      </c>
      <c r="D19" s="25" t="s">
        <v>120</v>
      </c>
      <c r="E19" s="26" t="s">
        <v>121</v>
      </c>
      <c r="F19" s="27" t="s">
        <v>122</v>
      </c>
      <c r="G19" s="28" t="s">
        <v>123</v>
      </c>
      <c r="H19" s="28" t="s">
        <v>124</v>
      </c>
    </row>
    <row r="20" customFormat="false" ht="18" hidden="false" customHeight="true" outlineLevel="0" collapsed="false">
      <c r="A20" s="22" t="s">
        <v>125</v>
      </c>
      <c r="B20" s="23" t="s">
        <v>126</v>
      </c>
      <c r="C20" s="24" t="n">
        <v>400</v>
      </c>
      <c r="D20" s="25" t="s">
        <v>120</v>
      </c>
      <c r="E20" s="26" t="s">
        <v>127</v>
      </c>
      <c r="F20" s="27" t="s">
        <v>68</v>
      </c>
      <c r="G20" s="28" t="s">
        <v>128</v>
      </c>
      <c r="H20" s="28" t="s">
        <v>123</v>
      </c>
    </row>
    <row r="21" customFormat="false" ht="18" hidden="false" customHeight="true" outlineLevel="0" collapsed="false">
      <c r="A21" s="22" t="s">
        <v>129</v>
      </c>
      <c r="B21" s="23" t="s">
        <v>130</v>
      </c>
      <c r="C21" s="24" t="n">
        <v>300</v>
      </c>
      <c r="D21" s="25" t="s">
        <v>120</v>
      </c>
      <c r="E21" s="26" t="s">
        <v>131</v>
      </c>
      <c r="F21" s="27" t="s">
        <v>68</v>
      </c>
      <c r="G21" s="28" t="s">
        <v>132</v>
      </c>
      <c r="H21" s="28" t="s">
        <v>133</v>
      </c>
    </row>
    <row r="22" customFormat="false" ht="18" hidden="false" customHeight="true" outlineLevel="0" collapsed="false">
      <c r="A22" s="22" t="s">
        <v>134</v>
      </c>
      <c r="B22" s="23" t="s">
        <v>135</v>
      </c>
      <c r="C22" s="24" t="n">
        <v>300</v>
      </c>
      <c r="D22" s="25" t="s">
        <v>120</v>
      </c>
      <c r="E22" s="26" t="s">
        <v>136</v>
      </c>
      <c r="F22" s="27" t="s">
        <v>68</v>
      </c>
      <c r="G22" s="28" t="s">
        <v>132</v>
      </c>
      <c r="H22" s="28" t="s">
        <v>137</v>
      </c>
    </row>
    <row r="23" customFormat="false" ht="18" hidden="false" customHeight="true" outlineLevel="0" collapsed="false">
      <c r="A23" s="22" t="s">
        <v>138</v>
      </c>
      <c r="B23" s="30" t="s">
        <v>139</v>
      </c>
      <c r="C23" s="35" t="n">
        <f aca="false">C16*C19+C17*C20+C18*C21</f>
        <v>580</v>
      </c>
      <c r="D23" s="32" t="s">
        <v>120</v>
      </c>
      <c r="E23" s="33" t="s">
        <v>99</v>
      </c>
      <c r="F23" s="27" t="s">
        <v>140</v>
      </c>
      <c r="G23" s="28"/>
      <c r="H23" s="28"/>
    </row>
    <row r="24" customFormat="false" ht="19.5" hidden="false" customHeight="true" outlineLevel="0" collapsed="false">
      <c r="A24" s="21" t="s">
        <v>141</v>
      </c>
      <c r="B24" s="21"/>
      <c r="C24" s="21"/>
      <c r="D24" s="21"/>
      <c r="E24" s="21"/>
      <c r="F24" s="21"/>
      <c r="G24" s="21"/>
      <c r="H24" s="21"/>
    </row>
    <row r="25" customFormat="false" ht="18" hidden="false" customHeight="true" outlineLevel="0" collapsed="false">
      <c r="A25" s="22" t="s">
        <v>142</v>
      </c>
      <c r="B25" s="23" t="s">
        <v>143</v>
      </c>
      <c r="C25" s="24" t="n">
        <v>100</v>
      </c>
      <c r="D25" s="25" t="s">
        <v>144</v>
      </c>
      <c r="E25" s="26" t="s">
        <v>145</v>
      </c>
      <c r="F25" s="27" t="s">
        <v>146</v>
      </c>
      <c r="G25" s="28" t="s">
        <v>147</v>
      </c>
      <c r="H25" s="28" t="s">
        <v>148</v>
      </c>
    </row>
    <row r="26" customFormat="false" ht="18" hidden="false" customHeight="true" outlineLevel="0" collapsed="false">
      <c r="A26" s="22" t="s">
        <v>149</v>
      </c>
      <c r="B26" s="23" t="s">
        <v>150</v>
      </c>
      <c r="C26" s="24" t="n">
        <v>135</v>
      </c>
      <c r="D26" s="25" t="s">
        <v>144</v>
      </c>
      <c r="E26" s="26" t="s">
        <v>151</v>
      </c>
      <c r="F26" s="27" t="s">
        <v>146</v>
      </c>
      <c r="G26" s="28" t="s">
        <v>148</v>
      </c>
      <c r="H26" s="28" t="s">
        <v>152</v>
      </c>
    </row>
    <row r="27" customFormat="false" ht="18" hidden="false" customHeight="true" outlineLevel="0" collapsed="false">
      <c r="A27" s="22" t="s">
        <v>153</v>
      </c>
      <c r="B27" s="23" t="s">
        <v>154</v>
      </c>
      <c r="C27" s="24" t="n">
        <v>187</v>
      </c>
      <c r="D27" s="25" t="s">
        <v>144</v>
      </c>
      <c r="E27" s="26" t="s">
        <v>155</v>
      </c>
      <c r="F27" s="27" t="s">
        <v>156</v>
      </c>
      <c r="G27" s="28" t="s">
        <v>152</v>
      </c>
      <c r="H27" s="28" t="s">
        <v>157</v>
      </c>
    </row>
    <row r="28" customFormat="false" ht="18" hidden="false" customHeight="true" outlineLevel="0" collapsed="false">
      <c r="A28" s="22" t="s">
        <v>158</v>
      </c>
      <c r="B28" s="30" t="s">
        <v>159</v>
      </c>
      <c r="C28" s="35" t="n">
        <f aca="false">C26</f>
        <v>135</v>
      </c>
      <c r="D28" s="32" t="s">
        <v>144</v>
      </c>
      <c r="E28" s="26" t="s">
        <v>160</v>
      </c>
      <c r="F28" s="27" t="s">
        <v>161</v>
      </c>
      <c r="G28" s="28"/>
      <c r="H28" s="28"/>
    </row>
    <row r="29" customFormat="false" ht="18" hidden="false" customHeight="true" outlineLevel="0" collapsed="false">
      <c r="A29" s="22" t="s">
        <v>162</v>
      </c>
      <c r="B29" s="23" t="s">
        <v>163</v>
      </c>
      <c r="C29" s="24" t="n">
        <v>84</v>
      </c>
      <c r="D29" s="25" t="s">
        <v>164</v>
      </c>
      <c r="E29" s="26" t="s">
        <v>165</v>
      </c>
      <c r="F29" s="27" t="s">
        <v>166</v>
      </c>
      <c r="G29" s="28" t="s">
        <v>147</v>
      </c>
      <c r="H29" s="28" t="s">
        <v>167</v>
      </c>
    </row>
    <row r="30" customFormat="false" ht="18" hidden="false" customHeight="true" outlineLevel="0" collapsed="false">
      <c r="A30" s="22" t="s">
        <v>168</v>
      </c>
      <c r="B30" s="23" t="s">
        <v>169</v>
      </c>
      <c r="C30" s="24" t="n">
        <v>8000</v>
      </c>
      <c r="D30" s="25" t="s">
        <v>120</v>
      </c>
      <c r="E30" s="26" t="s">
        <v>170</v>
      </c>
      <c r="F30" s="27" t="s">
        <v>171</v>
      </c>
      <c r="G30" s="28" t="s">
        <v>172</v>
      </c>
      <c r="H30" s="28" t="s">
        <v>173</v>
      </c>
    </row>
    <row r="31" customFormat="false" ht="18" hidden="false" customHeight="true" outlineLevel="0" collapsed="false">
      <c r="A31" s="22" t="s">
        <v>174</v>
      </c>
      <c r="B31" s="23" t="s">
        <v>175</v>
      </c>
      <c r="C31" s="34" t="n">
        <v>0.7</v>
      </c>
      <c r="D31" s="25" t="s">
        <v>104</v>
      </c>
      <c r="E31" s="26" t="s">
        <v>176</v>
      </c>
      <c r="F31" s="27" t="s">
        <v>177</v>
      </c>
      <c r="G31" s="28" t="s">
        <v>113</v>
      </c>
      <c r="H31" s="28" t="s">
        <v>178</v>
      </c>
    </row>
    <row r="32" customFormat="false" ht="18" hidden="false" customHeight="true" outlineLevel="0" collapsed="false">
      <c r="A32" s="22" t="s">
        <v>179</v>
      </c>
      <c r="B32" s="23" t="s">
        <v>180</v>
      </c>
      <c r="C32" s="34" t="n">
        <v>0.1</v>
      </c>
      <c r="D32" s="25" t="s">
        <v>104</v>
      </c>
      <c r="E32" s="26" t="s">
        <v>181</v>
      </c>
      <c r="F32" s="27" t="s">
        <v>182</v>
      </c>
      <c r="G32" s="28" t="s">
        <v>183</v>
      </c>
      <c r="H32" s="28" t="s">
        <v>184</v>
      </c>
    </row>
    <row r="33" customFormat="false" ht="18" hidden="false" customHeight="true" outlineLevel="0" collapsed="false">
      <c r="A33" s="22" t="s">
        <v>185</v>
      </c>
      <c r="B33" s="23" t="s">
        <v>186</v>
      </c>
      <c r="C33" s="34" t="n">
        <v>0.1</v>
      </c>
      <c r="D33" s="25" t="s">
        <v>81</v>
      </c>
      <c r="E33" s="26" t="s">
        <v>187</v>
      </c>
      <c r="F33" s="27" t="s">
        <v>188</v>
      </c>
      <c r="G33" s="28" t="s">
        <v>112</v>
      </c>
      <c r="H33" s="28" t="s">
        <v>189</v>
      </c>
    </row>
    <row r="34" customFormat="false" ht="19.5" hidden="false" customHeight="true" outlineLevel="0" collapsed="false">
      <c r="A34" s="21" t="s">
        <v>190</v>
      </c>
      <c r="B34" s="21"/>
      <c r="C34" s="21"/>
      <c r="D34" s="21"/>
      <c r="E34" s="21"/>
      <c r="F34" s="21"/>
      <c r="G34" s="21"/>
      <c r="H34" s="21"/>
    </row>
    <row r="35" customFormat="false" ht="18" hidden="false" customHeight="true" outlineLevel="0" collapsed="false">
      <c r="A35" s="22" t="s">
        <v>191</v>
      </c>
      <c r="B35" s="23" t="s">
        <v>192</v>
      </c>
      <c r="C35" s="36" t="n">
        <v>0.12</v>
      </c>
      <c r="D35" s="25" t="s">
        <v>104</v>
      </c>
      <c r="E35" s="26" t="s">
        <v>193</v>
      </c>
      <c r="F35" s="27" t="s">
        <v>194</v>
      </c>
      <c r="G35" s="28" t="s">
        <v>112</v>
      </c>
      <c r="H35" s="28" t="s">
        <v>184</v>
      </c>
    </row>
    <row r="36" customFormat="false" ht="18" hidden="false" customHeight="true" outlineLevel="0" collapsed="false">
      <c r="A36" s="22" t="s">
        <v>195</v>
      </c>
      <c r="B36" s="23" t="s">
        <v>196</v>
      </c>
      <c r="C36" s="36" t="n">
        <v>0.25</v>
      </c>
      <c r="D36" s="25" t="s">
        <v>104</v>
      </c>
      <c r="E36" s="26" t="s">
        <v>197</v>
      </c>
      <c r="F36" s="27" t="s">
        <v>198</v>
      </c>
      <c r="G36" s="28" t="s">
        <v>199</v>
      </c>
      <c r="H36" s="28" t="s">
        <v>107</v>
      </c>
    </row>
    <row r="37" customFormat="false" ht="18" hidden="false" customHeight="true" outlineLevel="0" collapsed="false">
      <c r="A37" s="22" t="s">
        <v>200</v>
      </c>
      <c r="B37" s="23" t="s">
        <v>15</v>
      </c>
      <c r="C37" s="24" t="n">
        <v>10</v>
      </c>
      <c r="D37" s="25" t="s">
        <v>201</v>
      </c>
      <c r="E37" s="26" t="s">
        <v>202</v>
      </c>
      <c r="F37" s="27" t="s">
        <v>203</v>
      </c>
      <c r="G37" s="28" t="s">
        <v>204</v>
      </c>
      <c r="H37" s="28" t="s">
        <v>205</v>
      </c>
    </row>
    <row r="38" customFormat="false" ht="18" hidden="false" customHeight="true" outlineLevel="0" collapsed="false">
      <c r="A38" s="22" t="s">
        <v>206</v>
      </c>
      <c r="B38" s="23" t="s">
        <v>207</v>
      </c>
      <c r="C38" s="36" t="n">
        <v>0.6</v>
      </c>
      <c r="D38" s="25" t="s">
        <v>104</v>
      </c>
      <c r="E38" s="26" t="s">
        <v>208</v>
      </c>
      <c r="F38" s="27" t="s">
        <v>209</v>
      </c>
      <c r="G38" s="28" t="s">
        <v>113</v>
      </c>
      <c r="H38" s="28" t="s">
        <v>210</v>
      </c>
    </row>
    <row r="39" customFormat="false" ht="18" hidden="false" customHeight="true" outlineLevel="0" collapsed="false">
      <c r="A39" s="22" t="s">
        <v>211</v>
      </c>
      <c r="B39" s="23" t="s">
        <v>212</v>
      </c>
      <c r="C39" s="36" t="n">
        <v>0.8</v>
      </c>
      <c r="D39" s="25" t="s">
        <v>104</v>
      </c>
      <c r="E39" s="26" t="s">
        <v>213</v>
      </c>
      <c r="F39" s="27" t="s">
        <v>209</v>
      </c>
      <c r="G39" s="28" t="s">
        <v>108</v>
      </c>
      <c r="H39" s="28" t="s">
        <v>214</v>
      </c>
    </row>
    <row r="40" customFormat="false" ht="18" hidden="false" customHeight="true" outlineLevel="0" collapsed="false">
      <c r="A40" s="22" t="s">
        <v>215</v>
      </c>
      <c r="B40" s="23" t="s">
        <v>216</v>
      </c>
      <c r="C40" s="24" t="n">
        <v>1</v>
      </c>
      <c r="D40" s="25" t="s">
        <v>104</v>
      </c>
      <c r="E40" s="26" t="s">
        <v>217</v>
      </c>
      <c r="F40" s="27" t="s">
        <v>209</v>
      </c>
      <c r="G40" s="28" t="s">
        <v>178</v>
      </c>
      <c r="H40" s="28" t="s">
        <v>218</v>
      </c>
    </row>
    <row r="41" customFormat="false" ht="18" hidden="false" customHeight="true" outlineLevel="0" collapsed="false">
      <c r="A41" s="22" t="s">
        <v>219</v>
      </c>
      <c r="B41" s="23" t="s">
        <v>220</v>
      </c>
      <c r="C41" s="24" t="n">
        <v>1</v>
      </c>
      <c r="D41" s="25" t="s">
        <v>104</v>
      </c>
      <c r="E41" s="26" t="s">
        <v>221</v>
      </c>
      <c r="F41" s="27" t="s">
        <v>222</v>
      </c>
      <c r="G41" s="28" t="s">
        <v>178</v>
      </c>
      <c r="H41" s="28" t="s">
        <v>223</v>
      </c>
    </row>
  </sheetData>
  <mergeCells count="6">
    <mergeCell ref="A1:H1"/>
    <mergeCell ref="A2:H2"/>
    <mergeCell ref="A4:H4"/>
    <mergeCell ref="A15:H15"/>
    <mergeCell ref="A24:H24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5" min="3" style="1" width="18"/>
    <col collapsed="false" customWidth="true" hidden="false" outlineLevel="0" max="6" min="6" style="1" width="22"/>
  </cols>
  <sheetData>
    <row r="1" customFormat="false" ht="27.75" hidden="false" customHeight="true" outlineLevel="0" collapsed="false">
      <c r="A1" s="37" t="s">
        <v>224</v>
      </c>
      <c r="B1" s="37"/>
      <c r="C1" s="37"/>
      <c r="D1" s="37"/>
      <c r="E1" s="37"/>
      <c r="F1" s="37"/>
    </row>
    <row r="2" customFormat="false" ht="15.75" hidden="false" customHeight="true" outlineLevel="0" collapsed="false">
      <c r="A2" s="38" t="s">
        <v>225</v>
      </c>
      <c r="B2" s="38"/>
      <c r="C2" s="38"/>
      <c r="D2" s="38"/>
      <c r="E2" s="38"/>
      <c r="F2" s="38"/>
    </row>
    <row r="4" customFormat="false" ht="19.5" hidden="false" customHeight="true" outlineLevel="0" collapsed="false">
      <c r="A4" s="21" t="s">
        <v>226</v>
      </c>
      <c r="B4" s="21"/>
      <c r="C4" s="21"/>
      <c r="D4" s="21"/>
      <c r="E4" s="21"/>
      <c r="F4" s="21"/>
    </row>
    <row r="5" customFormat="false" ht="31.5" hidden="false" customHeight="true" outlineLevel="0" collapsed="false">
      <c r="A5" s="20" t="s">
        <v>46</v>
      </c>
      <c r="B5" s="20" t="s">
        <v>48</v>
      </c>
      <c r="C5" s="20" t="s">
        <v>227</v>
      </c>
      <c r="D5" s="20" t="s">
        <v>228</v>
      </c>
      <c r="E5" s="20" t="s">
        <v>229</v>
      </c>
      <c r="F5" s="20" t="s">
        <v>230</v>
      </c>
    </row>
    <row r="6" customFormat="false" ht="18" hidden="false" customHeight="true" outlineLevel="0" collapsed="false">
      <c r="A6" s="39" t="s">
        <v>231</v>
      </c>
      <c r="B6" s="27" t="s">
        <v>56</v>
      </c>
      <c r="C6" s="40" t="n">
        <f aca="false">Inputs!C5</f>
        <v>5</v>
      </c>
      <c r="D6" s="41" t="n">
        <f aca="false">Inputs!C5</f>
        <v>5</v>
      </c>
      <c r="E6" s="42" t="n">
        <f aca="false">Inputs!C5</f>
        <v>5</v>
      </c>
      <c r="F6" s="27" t="s">
        <v>232</v>
      </c>
    </row>
    <row r="7" customFormat="false" ht="18" hidden="false" customHeight="true" outlineLevel="0" collapsed="false">
      <c r="A7" s="43" t="s">
        <v>233</v>
      </c>
      <c r="B7" s="44" t="s">
        <v>234</v>
      </c>
      <c r="C7" s="45" t="n">
        <f aca="false">CapEx!C7*0.6</f>
        <v>85.68</v>
      </c>
      <c r="D7" s="46" t="n">
        <f aca="false">CapEx!C7</f>
        <v>142.8</v>
      </c>
      <c r="E7" s="47" t="n">
        <f aca="false">CapEx!C7</f>
        <v>142.8</v>
      </c>
      <c r="F7" s="44" t="s">
        <v>235</v>
      </c>
    </row>
    <row r="8" customFormat="false" ht="18" hidden="false" customHeight="true" outlineLevel="0" collapsed="false">
      <c r="A8" s="39" t="s">
        <v>236</v>
      </c>
      <c r="B8" s="27" t="s">
        <v>237</v>
      </c>
      <c r="C8" s="48" t="n">
        <f aca="false">CapEx!C9*CapEx!C7*0.6*(1-Inputs!C33)</f>
        <v>179.1465984</v>
      </c>
      <c r="D8" s="49" t="n">
        <f aca="false">CapEx!C9*CapEx!C7*(1-Inputs!C33)</f>
        <v>298.577664</v>
      </c>
      <c r="E8" s="50" t="n">
        <f aca="false">CapEx!C9*CapEx!C7*(1-Inputs!C33)</f>
        <v>298.577664</v>
      </c>
      <c r="F8" s="27" t="s">
        <v>238</v>
      </c>
    </row>
    <row r="9" customFormat="false" ht="18" hidden="false" customHeight="true" outlineLevel="0" collapsed="false">
      <c r="A9" s="43" t="s">
        <v>239</v>
      </c>
      <c r="B9" s="44" t="s">
        <v>234</v>
      </c>
      <c r="C9" s="45" t="n">
        <f aca="false">CapEx!C8*0.6</f>
        <v>504</v>
      </c>
      <c r="D9" s="46" t="n">
        <f aca="false">CapEx!C8</f>
        <v>840</v>
      </c>
      <c r="E9" s="47" t="n">
        <f aca="false">CapEx!C8</f>
        <v>840</v>
      </c>
      <c r="F9" s="44" t="s">
        <v>235</v>
      </c>
    </row>
    <row r="10" customFormat="false" ht="18" hidden="false" customHeight="true" outlineLevel="0" collapsed="false">
      <c r="A10" s="39" t="s">
        <v>240</v>
      </c>
      <c r="B10" s="27" t="s">
        <v>241</v>
      </c>
      <c r="C10" s="51" t="n">
        <f aca="false">CapEx!C22/100000</f>
        <v>15.33745190384</v>
      </c>
      <c r="D10" s="52" t="n">
        <f aca="false">CapEx!C22/100000</f>
        <v>15.33745190384</v>
      </c>
      <c r="E10" s="53" t="n">
        <f aca="false">CapEx!C22/100000</f>
        <v>15.33745190384</v>
      </c>
      <c r="F10" s="27" t="s">
        <v>235</v>
      </c>
    </row>
    <row r="11" customFormat="false" ht="18" hidden="false" customHeight="true" outlineLevel="0" collapsed="false">
      <c r="A11" s="43" t="s">
        <v>242</v>
      </c>
      <c r="B11" s="44" t="s">
        <v>241</v>
      </c>
      <c r="C11" s="54" t="n">
        <f aca="false">OpEx!C15*0.6/100000</f>
        <v>13.06353142656</v>
      </c>
      <c r="D11" s="55" t="n">
        <f aca="false">OpEx!C15/100000</f>
        <v>21.7725523776</v>
      </c>
      <c r="E11" s="56" t="n">
        <f aca="false">OpEx!C15/100000</f>
        <v>21.7725523776</v>
      </c>
      <c r="F11" s="44" t="s">
        <v>243</v>
      </c>
    </row>
    <row r="12" customFormat="false" ht="18" hidden="false" customHeight="true" outlineLevel="0" collapsed="false">
      <c r="A12" s="39" t="s">
        <v>244</v>
      </c>
      <c r="B12" s="27" t="s">
        <v>241</v>
      </c>
      <c r="C12" s="51" t="n">
        <f aca="false">CashFlow!C21</f>
        <v>25.11330425856</v>
      </c>
      <c r="D12" s="52" t="n">
        <f aca="false">CashFlow!E21</f>
        <v>41.8555070976</v>
      </c>
      <c r="E12" s="53" t="n">
        <f aca="false">CashFlow!E21</f>
        <v>41.8555070976</v>
      </c>
      <c r="F12" s="27" t="s">
        <v>238</v>
      </c>
    </row>
    <row r="13" customFormat="false" ht="18" hidden="false" customHeight="true" outlineLevel="0" collapsed="false">
      <c r="A13" s="43" t="s">
        <v>245</v>
      </c>
      <c r="B13" s="44" t="s">
        <v>241</v>
      </c>
      <c r="C13" s="54" t="n">
        <f aca="false">CashFlow!C23</f>
        <v>12.049772832</v>
      </c>
      <c r="D13" s="55" t="n">
        <f aca="false">CashFlow!E23</f>
        <v>20.08295472</v>
      </c>
      <c r="E13" s="56" t="n">
        <f aca="false">CashFlow!E23</f>
        <v>20.08295472</v>
      </c>
      <c r="F13" s="44" t="s">
        <v>246</v>
      </c>
    </row>
    <row r="14" customFormat="false" ht="18" hidden="false" customHeight="true" outlineLevel="0" collapsed="false">
      <c r="A14" s="39" t="s">
        <v>247</v>
      </c>
      <c r="B14" s="27" t="s">
        <v>241</v>
      </c>
      <c r="C14" s="51" t="n">
        <f aca="false">CashFlow!C27</f>
        <v>7.887020731212</v>
      </c>
      <c r="D14" s="52" t="n">
        <f aca="false">CashFlow!E27</f>
        <v>13.911907147212</v>
      </c>
      <c r="E14" s="53" t="n">
        <f aca="false">CashFlow!E27</f>
        <v>13.911907147212</v>
      </c>
      <c r="F14" s="27" t="s">
        <v>246</v>
      </c>
    </row>
    <row r="15" customFormat="false" ht="18" hidden="false" customHeight="true" outlineLevel="0" collapsed="false">
      <c r="A15" s="43" t="s">
        <v>248</v>
      </c>
      <c r="B15" s="44" t="s">
        <v>201</v>
      </c>
      <c r="C15" s="57" t="n">
        <f aca="false">IFERROR(CapEx!C22/100000/MAX(CashFlow!C23,0.01),"&gt;10")</f>
        <v>1.27284158113828</v>
      </c>
      <c r="D15" s="58" t="n">
        <f aca="false">IFERROR(CapEx!C22/100000/MAX(CashFlow!E23,0.01),"&gt;10")</f>
        <v>0.763704948682969</v>
      </c>
      <c r="E15" s="59" t="n">
        <f aca="false">IFERROR(CapEx!C22/100000/MAX(CashFlow!E23,0.01),"&gt;10")</f>
        <v>0.763704948682969</v>
      </c>
      <c r="F15" s="44" t="s">
        <v>249</v>
      </c>
    </row>
    <row r="16" customFormat="false" ht="18" hidden="false" customHeight="true" outlineLevel="0" collapsed="false">
      <c r="A16" s="39" t="s">
        <v>250</v>
      </c>
      <c r="B16" s="27" t="s">
        <v>241</v>
      </c>
      <c r="C16" s="40" t="n">
        <f aca="false">(CashFlow!F23*((1-POWER(1+Inputs!C35,-Inputs!C37))/Inputs!C35))-CapEx!C22/100000</f>
        <v>98.1357213336367</v>
      </c>
      <c r="D16" s="41" t="n">
        <f aca="false">(CashFlow!G23*((1-POWER(1+Inputs!C35,-Inputs!C37))/Inputs!C35))-CapEx!C22/100000</f>
        <v>98.1357213336367</v>
      </c>
      <c r="E16" s="42" t="n">
        <f aca="false">(CashFlow!H23*((1-POWER(1+Inputs!C35,-Inputs!C37))/Inputs!C35))-CapEx!C22/100000</f>
        <v>98.1357213336367</v>
      </c>
      <c r="F16" s="27" t="s">
        <v>249</v>
      </c>
    </row>
    <row r="17" customFormat="false" ht="18" hidden="false" customHeight="true" outlineLevel="0" collapsed="false">
      <c r="A17" s="43" t="s">
        <v>251</v>
      </c>
      <c r="B17" s="44" t="s">
        <v>104</v>
      </c>
      <c r="C17" s="60" t="n">
        <f aca="false">IFERROR((CashFlow!F23/(CapEx!C22/100000))-(1/Inputs!C37),"N/A")</f>
        <v>1.20940620684013</v>
      </c>
      <c r="D17" s="61" t="n">
        <f aca="false">IFERROR((CashFlow!G23/(CapEx!C22/100000))-(1/Inputs!C37),"N/A")</f>
        <v>1.20940620684013</v>
      </c>
      <c r="E17" s="62" t="n">
        <f aca="false">IFERROR((CashFlow!H23/(CapEx!C22/100000))-(1/Inputs!C37),"N/A")</f>
        <v>1.20940620684013</v>
      </c>
      <c r="F17" s="44" t="s">
        <v>249</v>
      </c>
    </row>
    <row r="18" customFormat="false" ht="18" hidden="false" customHeight="true" outlineLevel="0" collapsed="false">
      <c r="A18" s="39" t="s">
        <v>252</v>
      </c>
      <c r="B18" s="27" t="s">
        <v>104</v>
      </c>
      <c r="C18" s="63" t="n">
        <f aca="false">CashFlow!F27/(CapEx!C22/100000)*100</f>
        <v>90.7054655130094</v>
      </c>
      <c r="D18" s="64" t="n">
        <f aca="false">CashFlow!G27/(CapEx!C22/100000)*100</f>
        <v>90.7054655130094</v>
      </c>
      <c r="E18" s="65" t="n">
        <f aca="false">CashFlow!H27/(CapEx!C22/100000)*100</f>
        <v>90.7054655130094</v>
      </c>
      <c r="F18" s="27" t="s">
        <v>140</v>
      </c>
    </row>
    <row r="19" customFormat="false" ht="18" hidden="false" customHeight="true" outlineLevel="0" collapsed="false">
      <c r="A19" s="43" t="s">
        <v>253</v>
      </c>
      <c r="B19" s="44" t="s">
        <v>144</v>
      </c>
      <c r="C19" s="66" t="n">
        <f aca="false">NPV!C8</f>
        <v>0.514232793078057</v>
      </c>
      <c r="D19" s="67" t="n">
        <f aca="false">NPV!D8</f>
        <v>0.710643724104076</v>
      </c>
      <c r="E19" s="68" t="n">
        <f aca="false">NPV!E8</f>
        <v>0.907054655130094</v>
      </c>
      <c r="F19" s="44" t="s">
        <v>249</v>
      </c>
    </row>
    <row r="20" customFormat="false" ht="18" hidden="false" customHeight="true" outlineLevel="0" collapsed="false">
      <c r="A20" s="39" t="s">
        <v>254</v>
      </c>
      <c r="B20" s="27" t="s">
        <v>255</v>
      </c>
      <c r="C20" s="40" t="n">
        <f aca="false">Revenue!C5*10</f>
        <v>1428</v>
      </c>
      <c r="D20" s="41" t="n">
        <f aca="false">Revenue!C5*10</f>
        <v>1428</v>
      </c>
      <c r="E20" s="42" t="n">
        <f aca="false">Revenue!C5*10</f>
        <v>1428</v>
      </c>
      <c r="F20" s="27" t="s">
        <v>238</v>
      </c>
    </row>
    <row r="22" customFormat="false" ht="19.5" hidden="false" customHeight="true" outlineLevel="0" collapsed="false">
      <c r="A22" s="21" t="s">
        <v>256</v>
      </c>
      <c r="B22" s="21"/>
      <c r="C22" s="21"/>
      <c r="D22" s="21"/>
      <c r="E22" s="21"/>
      <c r="F22" s="21"/>
    </row>
    <row r="23" customFormat="false" ht="18" hidden="false" customHeight="true" outlineLevel="0" collapsed="false">
      <c r="A23" s="69" t="s">
        <v>257</v>
      </c>
      <c r="B23" s="69"/>
      <c r="C23" s="23" t="s">
        <v>258</v>
      </c>
      <c r="D23" s="23"/>
      <c r="E23" s="23"/>
      <c r="F23" s="23"/>
    </row>
    <row r="24" customFormat="false" ht="18" hidden="false" customHeight="true" outlineLevel="0" collapsed="false">
      <c r="A24" s="70" t="s">
        <v>259</v>
      </c>
      <c r="B24" s="70"/>
      <c r="C24" s="30" t="s">
        <v>260</v>
      </c>
      <c r="D24" s="30"/>
      <c r="E24" s="30"/>
      <c r="F24" s="30"/>
    </row>
    <row r="25" customFormat="false" ht="18" hidden="false" customHeight="true" outlineLevel="0" collapsed="false">
      <c r="A25" s="69" t="s">
        <v>261</v>
      </c>
      <c r="B25" s="69"/>
      <c r="C25" s="23" t="s">
        <v>262</v>
      </c>
      <c r="D25" s="23"/>
      <c r="E25" s="23"/>
      <c r="F25" s="23"/>
    </row>
    <row r="26" customFormat="false" ht="18" hidden="false" customHeight="true" outlineLevel="0" collapsed="false">
      <c r="A26" s="70" t="s">
        <v>263</v>
      </c>
      <c r="B26" s="70"/>
      <c r="C26" s="30" t="s">
        <v>264</v>
      </c>
      <c r="D26" s="30"/>
      <c r="E26" s="30"/>
      <c r="F26" s="30"/>
    </row>
    <row r="27" customFormat="false" ht="18" hidden="false" customHeight="true" outlineLevel="0" collapsed="false">
      <c r="A27" s="69" t="s">
        <v>265</v>
      </c>
      <c r="B27" s="69"/>
      <c r="C27" s="23" t="s">
        <v>266</v>
      </c>
      <c r="D27" s="23"/>
      <c r="E27" s="23"/>
      <c r="F27" s="23"/>
    </row>
    <row r="28" customFormat="false" ht="18" hidden="false" customHeight="true" outlineLevel="0" collapsed="false">
      <c r="A28" s="70" t="s">
        <v>267</v>
      </c>
      <c r="B28" s="70"/>
      <c r="C28" s="30" t="s">
        <v>268</v>
      </c>
      <c r="D28" s="30"/>
      <c r="E28" s="30"/>
      <c r="F28" s="30"/>
    </row>
    <row r="29" customFormat="false" ht="18" hidden="false" customHeight="true" outlineLevel="0" collapsed="false">
      <c r="A29" s="69" t="s">
        <v>269</v>
      </c>
      <c r="B29" s="69"/>
      <c r="C29" s="23" t="s">
        <v>270</v>
      </c>
      <c r="D29" s="23"/>
      <c r="E29" s="23"/>
      <c r="F29" s="23"/>
    </row>
    <row r="30" customFormat="false" ht="18" hidden="false" customHeight="true" outlineLevel="0" collapsed="false">
      <c r="A30" s="70" t="s">
        <v>271</v>
      </c>
      <c r="B30" s="70"/>
      <c r="C30" s="30" t="s">
        <v>272</v>
      </c>
      <c r="D30" s="30"/>
      <c r="E30" s="30"/>
      <c r="F30" s="30"/>
    </row>
    <row r="31" customFormat="false" ht="18" hidden="false" customHeight="true" outlineLevel="0" collapsed="false">
      <c r="A31" s="69" t="s">
        <v>273</v>
      </c>
      <c r="B31" s="69"/>
      <c r="C31" s="23" t="s">
        <v>274</v>
      </c>
      <c r="D31" s="23"/>
      <c r="E31" s="23"/>
      <c r="F31" s="23"/>
    </row>
  </sheetData>
  <mergeCells count="22">
    <mergeCell ref="A1:F1"/>
    <mergeCell ref="A2:F2"/>
    <mergeCell ref="A4:F4"/>
    <mergeCell ref="A22:F22"/>
    <mergeCell ref="A23:B23"/>
    <mergeCell ref="C23:F23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38"/>
    <col collapsed="false" customWidth="true" hidden="false" outlineLevel="0" max="6" min="5" style="1" width="14"/>
  </cols>
  <sheetData>
    <row r="1" customFormat="false" ht="24" hidden="false" customHeight="true" outlineLevel="0" collapsed="false">
      <c r="A1" s="18" t="s">
        <v>275</v>
      </c>
      <c r="B1" s="18"/>
      <c r="C1" s="18"/>
      <c r="D1" s="18"/>
      <c r="E1" s="18"/>
      <c r="F1" s="18"/>
    </row>
    <row r="2" customFormat="false" ht="15.75" hidden="false" customHeight="true" outlineLevel="0" collapsed="false">
      <c r="A2" s="71" t="s">
        <v>276</v>
      </c>
      <c r="B2" s="71"/>
      <c r="C2" s="71"/>
      <c r="D2" s="71"/>
      <c r="E2" s="71"/>
      <c r="F2" s="71"/>
    </row>
    <row r="3" customFormat="false" ht="19.5" hidden="false" customHeight="true" outlineLevel="0" collapsed="false">
      <c r="A3" s="21" t="s">
        <v>277</v>
      </c>
      <c r="B3" s="21"/>
      <c r="C3" s="21"/>
      <c r="D3" s="21"/>
      <c r="E3" s="21"/>
      <c r="F3" s="21"/>
    </row>
    <row r="4" customFormat="false" ht="31.5" hidden="false" customHeight="true" outlineLevel="0" collapsed="false">
      <c r="A4" s="20" t="s">
        <v>278</v>
      </c>
      <c r="B4" s="20" t="s">
        <v>279</v>
      </c>
      <c r="C4" s="20" t="s">
        <v>47</v>
      </c>
      <c r="D4" s="20" t="s">
        <v>48</v>
      </c>
      <c r="E4" s="20" t="s">
        <v>280</v>
      </c>
      <c r="F4" s="20" t="s">
        <v>281</v>
      </c>
    </row>
    <row r="5" customFormat="false" ht="18" hidden="false" customHeight="true" outlineLevel="0" collapsed="false">
      <c r="A5" s="22" t="s">
        <v>282</v>
      </c>
      <c r="B5" s="72" t="s">
        <v>283</v>
      </c>
      <c r="C5" s="73" t="n">
        <f aca="false">Inputs!C9*(1-Inputs!C10)</f>
        <v>510</v>
      </c>
      <c r="D5" s="74" t="s">
        <v>76</v>
      </c>
      <c r="E5" s="75" t="s">
        <v>284</v>
      </c>
      <c r="F5" s="28" t="s">
        <v>285</v>
      </c>
    </row>
    <row r="6" customFormat="false" ht="18" hidden="false" customHeight="true" outlineLevel="0" collapsed="false">
      <c r="A6" s="22" t="s">
        <v>286</v>
      </c>
      <c r="B6" s="76" t="s">
        <v>287</v>
      </c>
      <c r="C6" s="73" t="n">
        <f aca="false">C5*Inputs!C11</f>
        <v>102</v>
      </c>
      <c r="D6" s="22" t="s">
        <v>76</v>
      </c>
      <c r="E6" s="75" t="s">
        <v>288</v>
      </c>
      <c r="F6" s="28" t="s">
        <v>289</v>
      </c>
    </row>
    <row r="7" customFormat="false" ht="18" hidden="false" customHeight="true" outlineLevel="0" collapsed="false">
      <c r="A7" s="22" t="s">
        <v>290</v>
      </c>
      <c r="B7" s="72" t="s">
        <v>291</v>
      </c>
      <c r="C7" s="73" t="n">
        <f aca="false">Inputs!C5*Inputs!C7*Inputs!C8*C6/1000</f>
        <v>142.8</v>
      </c>
      <c r="D7" s="74" t="s">
        <v>292</v>
      </c>
      <c r="E7" s="75" t="s">
        <v>293</v>
      </c>
      <c r="F7" s="28" t="s">
        <v>294</v>
      </c>
    </row>
    <row r="8" customFormat="false" ht="18" hidden="false" customHeight="true" outlineLevel="0" collapsed="false">
      <c r="A8" s="22" t="s">
        <v>295</v>
      </c>
      <c r="B8" s="76" t="s">
        <v>296</v>
      </c>
      <c r="C8" s="73" t="n">
        <f aca="false">C7/Inputs!C11/(1-Inputs!C10)</f>
        <v>840</v>
      </c>
      <c r="D8" s="22" t="s">
        <v>297</v>
      </c>
      <c r="E8" s="75" t="s">
        <v>298</v>
      </c>
      <c r="F8" s="28" t="s">
        <v>299</v>
      </c>
    </row>
    <row r="9" customFormat="false" ht="18" hidden="false" customHeight="true" outlineLevel="0" collapsed="false">
      <c r="A9" s="22" t="s">
        <v>300</v>
      </c>
      <c r="B9" s="72" t="s">
        <v>301</v>
      </c>
      <c r="C9" s="77" t="n">
        <f aca="false">Inputs!C14</f>
        <v>2.3232</v>
      </c>
      <c r="D9" s="74" t="s">
        <v>302</v>
      </c>
      <c r="E9" s="75" t="s">
        <v>303</v>
      </c>
      <c r="F9" s="28" t="s">
        <v>304</v>
      </c>
    </row>
    <row r="10" customFormat="false" ht="18" hidden="false" customHeight="true" outlineLevel="0" collapsed="false">
      <c r="A10" s="22" t="s">
        <v>305</v>
      </c>
      <c r="B10" s="76" t="s">
        <v>306</v>
      </c>
      <c r="C10" s="73" t="n">
        <f aca="false">C7*C9</f>
        <v>331.75296</v>
      </c>
      <c r="D10" s="22" t="s">
        <v>237</v>
      </c>
      <c r="E10" s="75" t="s">
        <v>307</v>
      </c>
      <c r="F10" s="28" t="s">
        <v>308</v>
      </c>
    </row>
    <row r="11" customFormat="false" ht="19.5" hidden="false" customHeight="true" outlineLevel="0" collapsed="false">
      <c r="A11" s="21" t="s">
        <v>309</v>
      </c>
      <c r="B11" s="21"/>
      <c r="C11" s="21"/>
      <c r="D11" s="21"/>
      <c r="E11" s="21"/>
      <c r="F11" s="21"/>
    </row>
    <row r="12" customFormat="false" ht="31.5" hidden="false" customHeight="true" outlineLevel="0" collapsed="false">
      <c r="A12" s="20" t="s">
        <v>45</v>
      </c>
      <c r="B12" s="20" t="s">
        <v>310</v>
      </c>
      <c r="C12" s="20" t="s">
        <v>311</v>
      </c>
      <c r="D12" s="20" t="s">
        <v>312</v>
      </c>
      <c r="E12" s="20" t="s">
        <v>313</v>
      </c>
      <c r="F12" s="20" t="s">
        <v>314</v>
      </c>
    </row>
    <row r="13" customFormat="false" ht="18" hidden="false" customHeight="true" outlineLevel="0" collapsed="false">
      <c r="A13" s="22" t="s">
        <v>142</v>
      </c>
      <c r="B13" s="78" t="s">
        <v>315</v>
      </c>
      <c r="C13" s="79" t="n">
        <f aca="false">Inputs!C5*45000</f>
        <v>225000</v>
      </c>
      <c r="D13" s="26" t="s">
        <v>316</v>
      </c>
      <c r="E13" s="28" t="s">
        <v>317</v>
      </c>
      <c r="F13" s="28" t="s">
        <v>318</v>
      </c>
    </row>
    <row r="14" customFormat="false" ht="18" hidden="false" customHeight="true" outlineLevel="0" collapsed="false">
      <c r="A14" s="22" t="s">
        <v>149</v>
      </c>
      <c r="B14" s="80" t="s">
        <v>319</v>
      </c>
      <c r="C14" s="81" t="n">
        <f aca="false">Inputs!C5*30000</f>
        <v>150000</v>
      </c>
      <c r="D14" s="26" t="s">
        <v>320</v>
      </c>
      <c r="E14" s="28" t="s">
        <v>317</v>
      </c>
      <c r="F14" s="28" t="s">
        <v>318</v>
      </c>
    </row>
    <row r="15" customFormat="false" ht="18" hidden="false" customHeight="true" outlineLevel="0" collapsed="false">
      <c r="A15" s="22" t="s">
        <v>153</v>
      </c>
      <c r="B15" s="78" t="s">
        <v>321</v>
      </c>
      <c r="C15" s="79" t="n">
        <f aca="false">Inputs!C5*10000</f>
        <v>50000</v>
      </c>
      <c r="D15" s="26" t="s">
        <v>322</v>
      </c>
      <c r="E15" s="28" t="s">
        <v>317</v>
      </c>
      <c r="F15" s="28" t="s">
        <v>318</v>
      </c>
    </row>
    <row r="16" customFormat="false" ht="18" hidden="false" customHeight="true" outlineLevel="0" collapsed="false">
      <c r="A16" s="22" t="s">
        <v>158</v>
      </c>
      <c r="B16" s="80" t="s">
        <v>323</v>
      </c>
      <c r="C16" s="81" t="n">
        <f aca="false">Inputs!C5*15000</f>
        <v>75000</v>
      </c>
      <c r="D16" s="26" t="s">
        <v>324</v>
      </c>
      <c r="E16" s="28" t="s">
        <v>317</v>
      </c>
      <c r="F16" s="28" t="s">
        <v>318</v>
      </c>
    </row>
    <row r="17" customFormat="false" ht="18" hidden="false" customHeight="true" outlineLevel="0" collapsed="false">
      <c r="A17" s="22" t="s">
        <v>162</v>
      </c>
      <c r="B17" s="78" t="s">
        <v>325</v>
      </c>
      <c r="C17" s="82" t="n">
        <v>50000</v>
      </c>
      <c r="D17" s="26" t="s">
        <v>326</v>
      </c>
      <c r="E17" s="28" t="s">
        <v>317</v>
      </c>
      <c r="F17" s="28" t="s">
        <v>318</v>
      </c>
    </row>
    <row r="18" customFormat="false" ht="18" hidden="false" customHeight="true" outlineLevel="0" collapsed="false">
      <c r="A18" s="22" t="s">
        <v>168</v>
      </c>
      <c r="B18" s="80" t="s">
        <v>327</v>
      </c>
      <c r="C18" s="83" t="n">
        <v>50000</v>
      </c>
      <c r="D18" s="26" t="s">
        <v>328</v>
      </c>
      <c r="E18" s="28" t="s">
        <v>317</v>
      </c>
      <c r="F18" s="28" t="s">
        <v>318</v>
      </c>
    </row>
    <row r="19" customFormat="false" ht="18" hidden="false" customHeight="true" outlineLevel="0" collapsed="false">
      <c r="A19" s="22" t="s">
        <v>174</v>
      </c>
      <c r="B19" s="78" t="s">
        <v>329</v>
      </c>
      <c r="C19" s="82" t="n">
        <v>250000</v>
      </c>
      <c r="D19" s="26" t="s">
        <v>330</v>
      </c>
      <c r="E19" s="28" t="s">
        <v>317</v>
      </c>
      <c r="F19" s="28" t="s">
        <v>318</v>
      </c>
    </row>
    <row r="20" customFormat="false" ht="18" hidden="false" customHeight="true" outlineLevel="0" collapsed="false">
      <c r="A20" s="22" t="s">
        <v>179</v>
      </c>
      <c r="B20" s="80" t="s">
        <v>331</v>
      </c>
      <c r="C20" s="84" t="n">
        <f aca="false">OpEx!C15*3/12</f>
        <v>544313.80944</v>
      </c>
      <c r="D20" s="26" t="s">
        <v>332</v>
      </c>
      <c r="E20" s="28" t="s">
        <v>333</v>
      </c>
      <c r="F20" s="28" t="s">
        <v>318</v>
      </c>
    </row>
    <row r="21" customFormat="false" ht="18" hidden="false" customHeight="true" outlineLevel="0" collapsed="false">
      <c r="A21" s="22" t="s">
        <v>185</v>
      </c>
      <c r="B21" s="78" t="s">
        <v>334</v>
      </c>
      <c r="C21" s="79" t="n">
        <f aca="false">SUM(C13:C20)*0.1</f>
        <v>139431.380944</v>
      </c>
      <c r="D21" s="26" t="s">
        <v>335</v>
      </c>
      <c r="E21" s="28" t="s">
        <v>333</v>
      </c>
      <c r="F21" s="28" t="s">
        <v>318</v>
      </c>
    </row>
    <row r="22" customFormat="false" ht="18" hidden="false" customHeight="true" outlineLevel="0" collapsed="false">
      <c r="A22" s="22" t="s">
        <v>336</v>
      </c>
      <c r="B22" s="85" t="s">
        <v>337</v>
      </c>
      <c r="C22" s="86" t="n">
        <f aca="false">SUM(C13:C21)</f>
        <v>1533745.190384</v>
      </c>
      <c r="D22" s="26" t="s">
        <v>338</v>
      </c>
      <c r="E22" s="28"/>
      <c r="F22" s="28" t="s">
        <v>318</v>
      </c>
    </row>
  </sheetData>
  <mergeCells count="4">
    <mergeCell ref="A1:F1"/>
    <mergeCell ref="A2:F2"/>
    <mergeCell ref="A3:F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12"/>
    <col collapsed="false" customWidth="true" hidden="false" outlineLevel="0" max="6" min="6" style="1" width="18"/>
  </cols>
  <sheetData>
    <row r="1" customFormat="false" ht="24" hidden="false" customHeight="true" outlineLevel="0" collapsed="false">
      <c r="A1" s="18" t="s">
        <v>339</v>
      </c>
      <c r="B1" s="18"/>
      <c r="C1" s="18"/>
      <c r="D1" s="18"/>
      <c r="E1" s="18"/>
      <c r="F1" s="18"/>
    </row>
    <row r="2" customFormat="false" ht="15.75" hidden="false" customHeight="true" outlineLevel="0" collapsed="false">
      <c r="A2" s="87" t="s">
        <v>340</v>
      </c>
      <c r="B2" s="87"/>
      <c r="C2" s="87"/>
      <c r="D2" s="87"/>
      <c r="E2" s="87"/>
      <c r="F2" s="87"/>
    </row>
    <row r="3" customFormat="false" ht="19.5" hidden="false" customHeight="true" outlineLevel="0" collapsed="false">
      <c r="A3" s="21" t="s">
        <v>341</v>
      </c>
      <c r="B3" s="21"/>
      <c r="C3" s="21"/>
      <c r="D3" s="21"/>
      <c r="E3" s="21"/>
      <c r="F3" s="21"/>
    </row>
    <row r="4" customFormat="false" ht="31.5" hidden="false" customHeight="true" outlineLevel="0" collapsed="false">
      <c r="A4" s="20" t="s">
        <v>45</v>
      </c>
      <c r="B4" s="20" t="s">
        <v>342</v>
      </c>
      <c r="C4" s="20" t="s">
        <v>343</v>
      </c>
      <c r="D4" s="20" t="s">
        <v>344</v>
      </c>
      <c r="E4" s="20" t="s">
        <v>345</v>
      </c>
      <c r="F4" s="20" t="s">
        <v>346</v>
      </c>
    </row>
    <row r="5" customFormat="false" ht="18" hidden="false" customHeight="true" outlineLevel="0" collapsed="false">
      <c r="A5" s="22" t="s">
        <v>347</v>
      </c>
      <c r="B5" s="78" t="s">
        <v>348</v>
      </c>
      <c r="C5" s="88" t="n">
        <f aca="false">CapEx!C8*Inputs!C23</f>
        <v>487200</v>
      </c>
      <c r="D5" s="75" t="s">
        <v>349</v>
      </c>
      <c r="E5" s="28" t="s">
        <v>333</v>
      </c>
      <c r="F5" s="27" t="s">
        <v>350</v>
      </c>
    </row>
    <row r="6" customFormat="false" ht="18" hidden="false" customHeight="true" outlineLevel="0" collapsed="false">
      <c r="A6" s="22" t="s">
        <v>351</v>
      </c>
      <c r="B6" s="80" t="s">
        <v>352</v>
      </c>
      <c r="C6" s="89" t="n">
        <f aca="false">CapEx!C8*Inputs!C22</f>
        <v>252000</v>
      </c>
      <c r="D6" s="75" t="s">
        <v>353</v>
      </c>
      <c r="E6" s="28" t="s">
        <v>333</v>
      </c>
      <c r="F6" s="27" t="s">
        <v>354</v>
      </c>
    </row>
    <row r="7" customFormat="false" ht="18" hidden="false" customHeight="true" outlineLevel="0" collapsed="false">
      <c r="A7" s="22" t="s">
        <v>355</v>
      </c>
      <c r="B7" s="78" t="s">
        <v>356</v>
      </c>
      <c r="C7" s="88" t="n">
        <f aca="false">4*12000*12</f>
        <v>576000</v>
      </c>
      <c r="D7" s="90" t="s">
        <v>357</v>
      </c>
      <c r="E7" s="28" t="s">
        <v>317</v>
      </c>
      <c r="F7" s="27" t="s">
        <v>11</v>
      </c>
    </row>
    <row r="8" customFormat="false" ht="18" hidden="false" customHeight="true" outlineLevel="0" collapsed="false">
      <c r="A8" s="22" t="s">
        <v>358</v>
      </c>
      <c r="B8" s="80" t="s">
        <v>359</v>
      </c>
      <c r="C8" s="89" t="n">
        <f aca="false">1*30000*12</f>
        <v>360000</v>
      </c>
      <c r="D8" s="90" t="s">
        <v>360</v>
      </c>
      <c r="E8" s="28" t="s">
        <v>317</v>
      </c>
      <c r="F8" s="27" t="s">
        <v>361</v>
      </c>
    </row>
    <row r="9" customFormat="false" ht="18" hidden="false" customHeight="true" outlineLevel="0" collapsed="false">
      <c r="A9" s="22" t="s">
        <v>362</v>
      </c>
      <c r="B9" s="78" t="s">
        <v>363</v>
      </c>
      <c r="C9" s="82" t="n">
        <v>80000</v>
      </c>
      <c r="D9" s="90" t="s">
        <v>364</v>
      </c>
      <c r="E9" s="28" t="s">
        <v>317</v>
      </c>
      <c r="F9" s="27" t="s">
        <v>365</v>
      </c>
    </row>
    <row r="10" customFormat="false" ht="18" hidden="false" customHeight="true" outlineLevel="0" collapsed="false">
      <c r="A10" s="22" t="s">
        <v>366</v>
      </c>
      <c r="B10" s="80" t="s">
        <v>367</v>
      </c>
      <c r="C10" s="83" t="n">
        <v>40000</v>
      </c>
      <c r="D10" s="90" t="s">
        <v>368</v>
      </c>
      <c r="E10" s="28" t="s">
        <v>317</v>
      </c>
      <c r="F10" s="27" t="s">
        <v>369</v>
      </c>
    </row>
    <row r="11" customFormat="false" ht="18" hidden="false" customHeight="true" outlineLevel="0" collapsed="false">
      <c r="A11" s="22" t="s">
        <v>370</v>
      </c>
      <c r="B11" s="78" t="s">
        <v>371</v>
      </c>
      <c r="C11" s="88" t="n">
        <f aca="false">CapEx!C13*0.05</f>
        <v>11250</v>
      </c>
      <c r="D11" s="75" t="s">
        <v>372</v>
      </c>
      <c r="E11" s="28" t="s">
        <v>333</v>
      </c>
      <c r="F11" s="27" t="s">
        <v>373</v>
      </c>
    </row>
    <row r="12" customFormat="false" ht="18" hidden="false" customHeight="true" outlineLevel="0" collapsed="false">
      <c r="A12" s="22" t="s">
        <v>374</v>
      </c>
      <c r="B12" s="80" t="s">
        <v>375</v>
      </c>
      <c r="C12" s="83" t="n">
        <v>60000</v>
      </c>
      <c r="D12" s="90" t="s">
        <v>376</v>
      </c>
      <c r="E12" s="28" t="s">
        <v>317</v>
      </c>
      <c r="F12" s="27" t="s">
        <v>377</v>
      </c>
    </row>
    <row r="13" customFormat="false" ht="18" hidden="false" customHeight="true" outlineLevel="0" collapsed="false">
      <c r="A13" s="22" t="s">
        <v>378</v>
      </c>
      <c r="B13" s="78" t="s">
        <v>379</v>
      </c>
      <c r="C13" s="82" t="n">
        <v>60000</v>
      </c>
      <c r="D13" s="90" t="s">
        <v>380</v>
      </c>
      <c r="E13" s="28" t="s">
        <v>317</v>
      </c>
      <c r="F13" s="27" t="s">
        <v>11</v>
      </c>
    </row>
    <row r="14" customFormat="false" ht="18" hidden="false" customHeight="true" outlineLevel="0" collapsed="false">
      <c r="A14" s="22" t="s">
        <v>381</v>
      </c>
      <c r="B14" s="80" t="s">
        <v>382</v>
      </c>
      <c r="C14" s="91" t="n">
        <f aca="false">Revenue!C12*Inputs!C32</f>
        <v>250805.23776</v>
      </c>
      <c r="D14" s="75" t="s">
        <v>383</v>
      </c>
      <c r="E14" s="28" t="s">
        <v>333</v>
      </c>
      <c r="F14" s="27" t="s">
        <v>384</v>
      </c>
    </row>
    <row r="15" customFormat="false" ht="18" hidden="false" customHeight="true" outlineLevel="0" collapsed="false">
      <c r="A15" s="22" t="s">
        <v>385</v>
      </c>
      <c r="B15" s="85" t="s">
        <v>386</v>
      </c>
      <c r="C15" s="92" t="n">
        <f aca="false">SUM(C5:C13)+C14</f>
        <v>2177255.23776</v>
      </c>
      <c r="D15" s="26" t="s">
        <v>387</v>
      </c>
      <c r="E15" s="28"/>
      <c r="F15" s="27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26"/>
    <col collapsed="false" customWidth="true" hidden="false" outlineLevel="0" max="7" min="7" style="1" width="16"/>
  </cols>
  <sheetData>
    <row r="1" customFormat="false" ht="24" hidden="false" customHeight="true" outlineLevel="0" collapsed="false">
      <c r="A1" s="18" t="s">
        <v>388</v>
      </c>
      <c r="B1" s="18"/>
      <c r="C1" s="18"/>
      <c r="D1" s="18"/>
      <c r="E1" s="18"/>
      <c r="F1" s="18"/>
      <c r="G1" s="18"/>
    </row>
    <row r="2" customFormat="false" ht="15.75" hidden="false" customHeight="true" outlineLevel="0" collapsed="false">
      <c r="A2" s="71" t="s">
        <v>389</v>
      </c>
      <c r="B2" s="71"/>
      <c r="C2" s="71"/>
      <c r="D2" s="71"/>
      <c r="E2" s="71"/>
      <c r="F2" s="71"/>
      <c r="G2" s="71"/>
    </row>
    <row r="3" customFormat="false" ht="19.5" hidden="false" customHeight="true" outlineLevel="0" collapsed="false">
      <c r="A3" s="21" t="s">
        <v>390</v>
      </c>
      <c r="B3" s="21"/>
      <c r="C3" s="21"/>
      <c r="D3" s="21"/>
      <c r="E3" s="21"/>
      <c r="F3" s="21"/>
      <c r="G3" s="21"/>
    </row>
    <row r="4" customFormat="false" ht="31.5" hidden="false" customHeight="true" outlineLevel="0" collapsed="false">
      <c r="A4" s="20" t="s">
        <v>45</v>
      </c>
      <c r="B4" s="20" t="s">
        <v>391</v>
      </c>
      <c r="C4" s="20" t="s">
        <v>392</v>
      </c>
      <c r="D4" s="20" t="s">
        <v>393</v>
      </c>
      <c r="E4" s="20" t="s">
        <v>394</v>
      </c>
      <c r="F4" s="20" t="s">
        <v>393</v>
      </c>
      <c r="G4" s="20" t="s">
        <v>395</v>
      </c>
    </row>
    <row r="5" customFormat="false" ht="18" hidden="false" customHeight="true" outlineLevel="0" collapsed="false">
      <c r="A5" s="22" t="s">
        <v>396</v>
      </c>
      <c r="B5" s="78" t="s">
        <v>397</v>
      </c>
      <c r="C5" s="93" t="n">
        <f aca="false">CapEx!C7</f>
        <v>142.8</v>
      </c>
      <c r="D5" s="90" t="s">
        <v>398</v>
      </c>
      <c r="E5" s="93" t="n">
        <f aca="false">CapEx!C7</f>
        <v>142.8</v>
      </c>
      <c r="F5" s="94" t="s">
        <v>399</v>
      </c>
      <c r="G5" s="93" t="n">
        <f aca="false">CapEx!C7</f>
        <v>142.8</v>
      </c>
    </row>
    <row r="6" customFormat="false" ht="18" hidden="false" customHeight="true" outlineLevel="0" collapsed="false">
      <c r="A6" s="22" t="s">
        <v>400</v>
      </c>
      <c r="B6" s="80" t="s">
        <v>401</v>
      </c>
      <c r="C6" s="95" t="n">
        <f aca="false">Inputs!C14</f>
        <v>2.3232</v>
      </c>
      <c r="D6" s="90" t="s">
        <v>398</v>
      </c>
      <c r="E6" s="96" t="n">
        <f aca="false">Inputs!C14</f>
        <v>2.3232</v>
      </c>
      <c r="F6" s="94" t="s">
        <v>399</v>
      </c>
      <c r="G6" s="96" t="n">
        <f aca="false">Inputs!C14</f>
        <v>2.3232</v>
      </c>
    </row>
    <row r="7" customFormat="false" ht="18" hidden="false" customHeight="true" outlineLevel="0" collapsed="false">
      <c r="A7" s="22" t="s">
        <v>402</v>
      </c>
      <c r="B7" s="78" t="s">
        <v>403</v>
      </c>
      <c r="C7" s="97" t="n">
        <f aca="false">C5*C6</f>
        <v>331.75296</v>
      </c>
      <c r="D7" s="90" t="s">
        <v>398</v>
      </c>
      <c r="E7" s="98" t="n">
        <f aca="false">E5*E6</f>
        <v>331.75296</v>
      </c>
      <c r="F7" s="94" t="s">
        <v>399</v>
      </c>
      <c r="G7" s="98" t="n">
        <f aca="false">G5*G6</f>
        <v>331.75296</v>
      </c>
    </row>
    <row r="8" customFormat="false" ht="18" hidden="false" customHeight="true" outlineLevel="0" collapsed="false">
      <c r="A8" s="22" t="s">
        <v>404</v>
      </c>
      <c r="B8" s="80" t="s">
        <v>405</v>
      </c>
      <c r="C8" s="99" t="n">
        <f aca="false">C7*Inputs!C33</f>
        <v>33.175296</v>
      </c>
      <c r="D8" s="90" t="s">
        <v>398</v>
      </c>
      <c r="E8" s="100" t="n">
        <f aca="false">E7*Inputs!C33</f>
        <v>33.175296</v>
      </c>
      <c r="F8" s="94" t="s">
        <v>399</v>
      </c>
      <c r="G8" s="100" t="n">
        <f aca="false">G7*Inputs!C33</f>
        <v>33.175296</v>
      </c>
    </row>
    <row r="9" customFormat="false" ht="18" hidden="false" customHeight="true" outlineLevel="0" collapsed="false">
      <c r="A9" s="22" t="s">
        <v>406</v>
      </c>
      <c r="B9" s="78" t="s">
        <v>407</v>
      </c>
      <c r="C9" s="97" t="n">
        <f aca="false">C7-C8</f>
        <v>298.577664</v>
      </c>
      <c r="D9" s="90" t="s">
        <v>398</v>
      </c>
      <c r="E9" s="98" t="n">
        <f aca="false">E7-E8</f>
        <v>298.577664</v>
      </c>
      <c r="F9" s="94" t="s">
        <v>399</v>
      </c>
      <c r="G9" s="98" t="n">
        <f aca="false">G7-G8</f>
        <v>298.577664</v>
      </c>
    </row>
    <row r="10" customFormat="false" ht="18" hidden="false" customHeight="true" outlineLevel="0" collapsed="false">
      <c r="A10" s="22" t="s">
        <v>408</v>
      </c>
      <c r="B10" s="80" t="s">
        <v>409</v>
      </c>
      <c r="C10" s="100" t="n">
        <f aca="false">Inputs!C25</f>
        <v>100</v>
      </c>
      <c r="D10" s="90" t="s">
        <v>410</v>
      </c>
      <c r="E10" s="100" t="n">
        <f aca="false">Inputs!C26</f>
        <v>135</v>
      </c>
      <c r="F10" s="94" t="s">
        <v>411</v>
      </c>
      <c r="G10" s="100" t="n">
        <f aca="false">Inputs!C27</f>
        <v>187</v>
      </c>
    </row>
    <row r="11" customFormat="false" ht="18" hidden="false" customHeight="true" outlineLevel="0" collapsed="false">
      <c r="A11" s="22" t="s">
        <v>412</v>
      </c>
      <c r="B11" s="78" t="s">
        <v>413</v>
      </c>
      <c r="C11" s="93" t="n">
        <f aca="false">Inputs!C29</f>
        <v>84</v>
      </c>
      <c r="D11" s="90" t="s">
        <v>414</v>
      </c>
      <c r="E11" s="93" t="n">
        <f aca="false">Inputs!C29</f>
        <v>84</v>
      </c>
      <c r="F11" s="94" t="s">
        <v>399</v>
      </c>
      <c r="G11" s="93" t="n">
        <f aca="false">Inputs!C29</f>
        <v>84</v>
      </c>
    </row>
    <row r="12" customFormat="false" ht="18" hidden="false" customHeight="true" outlineLevel="0" collapsed="false">
      <c r="A12" s="22" t="s">
        <v>415</v>
      </c>
      <c r="B12" s="80" t="s">
        <v>416</v>
      </c>
      <c r="C12" s="91" t="n">
        <f aca="false">C9*C10*C11</f>
        <v>2508052.3776</v>
      </c>
      <c r="D12" s="90" t="s">
        <v>398</v>
      </c>
      <c r="E12" s="81" t="n">
        <f aca="false">E9*E10*E11</f>
        <v>3385870.70976</v>
      </c>
      <c r="F12" s="94" t="s">
        <v>399</v>
      </c>
      <c r="G12" s="81" t="n">
        <f aca="false">G9*G10*G11</f>
        <v>4690057.946112</v>
      </c>
    </row>
    <row r="13" customFormat="false" ht="18" hidden="false" customHeight="true" outlineLevel="0" collapsed="false">
      <c r="A13" s="22" t="s">
        <v>417</v>
      </c>
      <c r="B13" s="78" t="s">
        <v>418</v>
      </c>
      <c r="C13" s="101" t="n">
        <f aca="false">CapEx!C7*Inputs!C30*Inputs!C31</f>
        <v>799680</v>
      </c>
      <c r="D13" s="90" t="s">
        <v>398</v>
      </c>
      <c r="E13" s="88" t="n">
        <f aca="false">CapEx!C7*Inputs!C30*Inputs!C31</f>
        <v>799680</v>
      </c>
      <c r="F13" s="94" t="s">
        <v>399</v>
      </c>
      <c r="G13" s="88" t="n">
        <f aca="false">CapEx!C7*Inputs!C30*Inputs!C31</f>
        <v>799680</v>
      </c>
    </row>
    <row r="14" customFormat="false" ht="18" hidden="false" customHeight="true" outlineLevel="0" collapsed="false">
      <c r="A14" s="22" t="s">
        <v>419</v>
      </c>
      <c r="B14" s="80" t="s">
        <v>420</v>
      </c>
      <c r="C14" s="91" t="n">
        <f aca="false">-C12*Inputs!C32</f>
        <v>-250805.23776</v>
      </c>
      <c r="D14" s="90" t="s">
        <v>398</v>
      </c>
      <c r="E14" s="89" t="n">
        <f aca="false">-E12*Inputs!C32</f>
        <v>-338587.070976</v>
      </c>
      <c r="F14" s="94" t="s">
        <v>399</v>
      </c>
      <c r="G14" s="89" t="n">
        <f aca="false">-G12*Inputs!C32</f>
        <v>-469005.7946112</v>
      </c>
    </row>
    <row r="15" customFormat="false" ht="18" hidden="false" customHeight="true" outlineLevel="0" collapsed="false">
      <c r="A15" s="22" t="s">
        <v>421</v>
      </c>
      <c r="B15" s="85" t="s">
        <v>422</v>
      </c>
      <c r="C15" s="92" t="n">
        <f aca="false">C12+C13+C14</f>
        <v>3056927.13984</v>
      </c>
      <c r="D15" s="90" t="s">
        <v>398</v>
      </c>
      <c r="E15" s="86" t="n">
        <f aca="false">E12+E13+E14</f>
        <v>3846963.638784</v>
      </c>
      <c r="F15" s="94" t="s">
        <v>399</v>
      </c>
      <c r="G15" s="86" t="n">
        <f aca="false">G12+G13+G14</f>
        <v>5020732.1515008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12" min="3" style="1" width="12"/>
    <col collapsed="false" customWidth="true" hidden="false" outlineLevel="0" max="13" min="13" style="1" width="14"/>
  </cols>
  <sheetData>
    <row r="1" customFormat="false" ht="24" hidden="false" customHeight="true" outlineLevel="0" collapsed="false">
      <c r="A1" s="18" t="s">
        <v>423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5.75" hidden="false" customHeight="true" outlineLevel="0" collapsed="false">
      <c r="A2" s="71" t="s">
        <v>424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customFormat="false" ht="19.5" hidden="false" customHeight="true" outlineLevel="0" collapsed="false">
      <c r="A3" s="21" t="s">
        <v>425</v>
      </c>
      <c r="B3" s="21"/>
      <c r="C3" s="21"/>
      <c r="D3" s="21"/>
      <c r="E3" s="21"/>
      <c r="F3" s="21"/>
      <c r="G3" s="21"/>
    </row>
    <row r="4" customFormat="false" ht="31.5" hidden="false" customHeight="true" outlineLevel="0" collapsed="false">
      <c r="A4" s="20" t="s">
        <v>279</v>
      </c>
      <c r="B4" s="20" t="s">
        <v>280</v>
      </c>
      <c r="C4" s="20" t="s">
        <v>222</v>
      </c>
      <c r="D4" s="20" t="s">
        <v>426</v>
      </c>
      <c r="E4" s="20" t="s">
        <v>427</v>
      </c>
      <c r="F4" s="20" t="s">
        <v>48</v>
      </c>
      <c r="G4" s="20" t="s">
        <v>428</v>
      </c>
    </row>
    <row r="5" customFormat="false" ht="18" hidden="false" customHeight="true" outlineLevel="0" collapsed="false">
      <c r="A5" s="78" t="s">
        <v>429</v>
      </c>
      <c r="B5" s="26" t="s">
        <v>430</v>
      </c>
      <c r="C5" s="102" t="n">
        <f aca="false">CashFlow!C21</f>
        <v>25.11330425856</v>
      </c>
      <c r="D5" s="103" t="n">
        <f aca="false">CashFlow!E21</f>
        <v>41.8555070976</v>
      </c>
      <c r="E5" s="104" t="n">
        <f aca="false">CashFlow!E21</f>
        <v>41.8555070976</v>
      </c>
      <c r="F5" s="28" t="s">
        <v>241</v>
      </c>
      <c r="G5" s="26" t="s">
        <v>430</v>
      </c>
    </row>
    <row r="6" customFormat="false" ht="18" hidden="false" customHeight="true" outlineLevel="0" collapsed="false">
      <c r="A6" s="80" t="s">
        <v>431</v>
      </c>
      <c r="B6" s="26" t="s">
        <v>432</v>
      </c>
      <c r="C6" s="105" t="n">
        <f aca="false">CashFlow!C22</f>
        <v>13.06353142656</v>
      </c>
      <c r="D6" s="106" t="n">
        <f aca="false">CashFlow!E22</f>
        <v>21.7725523776</v>
      </c>
      <c r="E6" s="107" t="n">
        <f aca="false">CashFlow!E22</f>
        <v>21.7725523776</v>
      </c>
      <c r="F6" s="28" t="s">
        <v>241</v>
      </c>
      <c r="G6" s="26" t="s">
        <v>432</v>
      </c>
    </row>
    <row r="7" customFormat="false" ht="18" hidden="false" customHeight="true" outlineLevel="0" collapsed="false">
      <c r="A7" s="85" t="s">
        <v>245</v>
      </c>
      <c r="B7" s="94" t="s">
        <v>433</v>
      </c>
      <c r="C7" s="108" t="n">
        <f aca="false">C5-C6</f>
        <v>12.049772832</v>
      </c>
      <c r="D7" s="109" t="n">
        <f aca="false">D5-D6</f>
        <v>20.08295472</v>
      </c>
      <c r="E7" s="110" t="n">
        <f aca="false">E5-E6</f>
        <v>20.08295472</v>
      </c>
      <c r="F7" s="28" t="s">
        <v>241</v>
      </c>
      <c r="G7" s="94" t="s">
        <v>433</v>
      </c>
    </row>
    <row r="8" customFormat="false" ht="18" hidden="false" customHeight="true" outlineLevel="0" collapsed="false">
      <c r="A8" s="80" t="s">
        <v>434</v>
      </c>
      <c r="B8" s="94" t="s">
        <v>435</v>
      </c>
      <c r="C8" s="105" t="n">
        <f aca="false">CapEx!$C$22/Inputs!$C$37/100000</f>
        <v>1.533745190384</v>
      </c>
      <c r="D8" s="106" t="n">
        <f aca="false">CapEx!$C$22/Inputs!$C$37/100000</f>
        <v>1.533745190384</v>
      </c>
      <c r="E8" s="107" t="n">
        <f aca="false">CapEx!$C$22/Inputs!$C$37/100000</f>
        <v>1.533745190384</v>
      </c>
      <c r="F8" s="28" t="s">
        <v>241</v>
      </c>
      <c r="G8" s="94" t="s">
        <v>435</v>
      </c>
    </row>
    <row r="9" customFormat="false" ht="18" hidden="false" customHeight="true" outlineLevel="0" collapsed="false">
      <c r="A9" s="78" t="s">
        <v>436</v>
      </c>
      <c r="B9" s="94" t="s">
        <v>437</v>
      </c>
      <c r="C9" s="66" t="n">
        <f aca="false">C7-C8</f>
        <v>10.516027641616</v>
      </c>
      <c r="D9" s="67" t="n">
        <f aca="false">D7-D8</f>
        <v>18.549209529616</v>
      </c>
      <c r="E9" s="68" t="n">
        <f aca="false">E7-E8</f>
        <v>18.549209529616</v>
      </c>
      <c r="F9" s="28" t="s">
        <v>241</v>
      </c>
      <c r="G9" s="94" t="s">
        <v>437</v>
      </c>
    </row>
    <row r="10" customFormat="false" ht="18" hidden="false" customHeight="true" outlineLevel="0" collapsed="false">
      <c r="A10" s="80" t="s">
        <v>438</v>
      </c>
      <c r="B10" s="94" t="s">
        <v>439</v>
      </c>
      <c r="C10" s="105" t="n">
        <f aca="false">MAX(C9*Inputs!$C$36,0)</f>
        <v>2.629006910404</v>
      </c>
      <c r="D10" s="106" t="n">
        <f aca="false">MAX(D9*Inputs!$C$36,0)</f>
        <v>4.637302382404</v>
      </c>
      <c r="E10" s="107" t="n">
        <f aca="false">MAX(E9*Inputs!$C$36,0)</f>
        <v>4.637302382404</v>
      </c>
      <c r="F10" s="28" t="s">
        <v>241</v>
      </c>
      <c r="G10" s="94" t="s">
        <v>439</v>
      </c>
    </row>
    <row r="11" customFormat="false" ht="18" hidden="false" customHeight="true" outlineLevel="0" collapsed="false">
      <c r="A11" s="85" t="s">
        <v>247</v>
      </c>
      <c r="B11" s="94" t="s">
        <v>440</v>
      </c>
      <c r="C11" s="108" t="n">
        <f aca="false">C9-C10</f>
        <v>7.887020731212</v>
      </c>
      <c r="D11" s="109" t="n">
        <f aca="false">D9-D10</f>
        <v>13.911907147212</v>
      </c>
      <c r="E11" s="110" t="n">
        <f aca="false">E9-E10</f>
        <v>13.911907147212</v>
      </c>
      <c r="F11" s="28" t="s">
        <v>241</v>
      </c>
      <c r="G11" s="94" t="s">
        <v>440</v>
      </c>
    </row>
    <row r="12" customFormat="false" ht="18" hidden="false" customHeight="true" outlineLevel="0" collapsed="false">
      <c r="A12" s="80" t="s">
        <v>441</v>
      </c>
      <c r="B12" s="94" t="s">
        <v>442</v>
      </c>
      <c r="C12" s="40" t="n">
        <f aca="false">C11+C8</f>
        <v>9.420765921596</v>
      </c>
      <c r="D12" s="41" t="n">
        <f aca="false">D11+D8</f>
        <v>15.445652337596</v>
      </c>
      <c r="E12" s="42" t="n">
        <f aca="false">E11+E8</f>
        <v>15.445652337596</v>
      </c>
      <c r="F12" s="28" t="s">
        <v>241</v>
      </c>
      <c r="G12" s="94" t="s">
        <v>442</v>
      </c>
    </row>
    <row r="14" customFormat="false" ht="19.5" hidden="false" customHeight="true" outlineLevel="0" collapsed="false">
      <c r="A14" s="21" t="s">
        <v>443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customFormat="false" ht="31.5" hidden="false" customHeight="true" outlineLevel="0" collapsed="false">
      <c r="A15" s="20" t="s">
        <v>444</v>
      </c>
      <c r="B15" s="20" t="s">
        <v>445</v>
      </c>
      <c r="C15" s="20" t="s">
        <v>446</v>
      </c>
      <c r="D15" s="20" t="s">
        <v>447</v>
      </c>
      <c r="E15" s="20" t="s">
        <v>448</v>
      </c>
      <c r="F15" s="20" t="s">
        <v>449</v>
      </c>
      <c r="G15" s="20" t="s">
        <v>450</v>
      </c>
      <c r="H15" s="20" t="s">
        <v>451</v>
      </c>
      <c r="I15" s="20" t="s">
        <v>452</v>
      </c>
      <c r="J15" s="20" t="s">
        <v>453</v>
      </c>
      <c r="K15" s="20" t="s">
        <v>454</v>
      </c>
      <c r="L15" s="20" t="s">
        <v>455</v>
      </c>
      <c r="M15" s="20" t="s">
        <v>456</v>
      </c>
    </row>
    <row r="16" customFormat="false" ht="18" hidden="false" customHeight="true" outlineLevel="0" collapsed="false">
      <c r="A16" s="80" t="s">
        <v>457</v>
      </c>
      <c r="B16" s="94" t="s">
        <v>458</v>
      </c>
      <c r="C16" s="111" t="n">
        <v>0.6</v>
      </c>
      <c r="D16" s="111" t="n">
        <v>0.8</v>
      </c>
      <c r="E16" s="111" t="n">
        <v>1</v>
      </c>
      <c r="F16" s="111" t="n">
        <v>1</v>
      </c>
      <c r="G16" s="111" t="n">
        <v>1</v>
      </c>
      <c r="H16" s="111" t="n">
        <v>1</v>
      </c>
      <c r="I16" s="111" t="n">
        <v>1</v>
      </c>
      <c r="J16" s="111" t="n">
        <v>1</v>
      </c>
      <c r="K16" s="111" t="n">
        <v>1</v>
      </c>
      <c r="L16" s="111" t="n">
        <v>1</v>
      </c>
      <c r="M16" s="28" t="s">
        <v>99</v>
      </c>
    </row>
    <row r="17" customFormat="false" ht="18" hidden="false" customHeight="true" outlineLevel="0" collapsed="false">
      <c r="A17" s="78" t="s">
        <v>459</v>
      </c>
      <c r="B17" s="94" t="s">
        <v>460</v>
      </c>
      <c r="C17" s="112" t="n">
        <f aca="false">CapEx!$C$7*C16</f>
        <v>85.68</v>
      </c>
      <c r="D17" s="113" t="n">
        <f aca="false">CapEx!$C$7*D16</f>
        <v>114.24</v>
      </c>
      <c r="E17" s="112" t="n">
        <f aca="false">CapEx!$C$7*E16</f>
        <v>142.8</v>
      </c>
      <c r="F17" s="113" t="n">
        <f aca="false">CapEx!$C$7*F16</f>
        <v>142.8</v>
      </c>
      <c r="G17" s="112" t="n">
        <f aca="false">CapEx!$C$7*G16</f>
        <v>142.8</v>
      </c>
      <c r="H17" s="113" t="n">
        <f aca="false">CapEx!$C$7*H16</f>
        <v>142.8</v>
      </c>
      <c r="I17" s="112" t="n">
        <f aca="false">CapEx!$C$7*I16</f>
        <v>142.8</v>
      </c>
      <c r="J17" s="113" t="n">
        <f aca="false">CapEx!$C$7*J16</f>
        <v>142.8</v>
      </c>
      <c r="K17" s="112" t="n">
        <f aca="false">CapEx!$C$7*K16</f>
        <v>142.8</v>
      </c>
      <c r="L17" s="113" t="n">
        <f aca="false">CapEx!$C$7*L16</f>
        <v>142.8</v>
      </c>
      <c r="M17" s="46" t="n">
        <f aca="false">SUM(C17:L17)</f>
        <v>1342.32</v>
      </c>
    </row>
    <row r="18" customFormat="false" ht="18" hidden="false" customHeight="true" outlineLevel="0" collapsed="false">
      <c r="A18" s="80" t="s">
        <v>461</v>
      </c>
      <c r="B18" s="94" t="s">
        <v>462</v>
      </c>
      <c r="C18" s="93" t="n">
        <f aca="false">C17*CapEx!$C$9*(1-Inputs!$C$33)</f>
        <v>179.1465984</v>
      </c>
      <c r="D18" s="114" t="n">
        <f aca="false">D17*CapEx!$C$9*(1-Inputs!$C$33)</f>
        <v>238.8621312</v>
      </c>
      <c r="E18" s="93" t="n">
        <f aca="false">E17*CapEx!$C$9*(1-Inputs!$C$33)</f>
        <v>298.577664</v>
      </c>
      <c r="F18" s="114" t="n">
        <f aca="false">F17*CapEx!$C$9*(1-Inputs!$C$33)</f>
        <v>298.577664</v>
      </c>
      <c r="G18" s="93" t="n">
        <f aca="false">G17*CapEx!$C$9*(1-Inputs!$C$33)</f>
        <v>298.577664</v>
      </c>
      <c r="H18" s="114" t="n">
        <f aca="false">H17*CapEx!$C$9*(1-Inputs!$C$33)</f>
        <v>298.577664</v>
      </c>
      <c r="I18" s="93" t="n">
        <f aca="false">I17*CapEx!$C$9*(1-Inputs!$C$33)</f>
        <v>298.577664</v>
      </c>
      <c r="J18" s="114" t="n">
        <f aca="false">J17*CapEx!$C$9*(1-Inputs!$C$33)</f>
        <v>298.577664</v>
      </c>
      <c r="K18" s="93" t="n">
        <f aca="false">K17*CapEx!$C$9*(1-Inputs!$C$33)</f>
        <v>298.577664</v>
      </c>
      <c r="L18" s="114" t="n">
        <f aca="false">L17*CapEx!$C$9*(1-Inputs!$C$33)</f>
        <v>298.577664</v>
      </c>
      <c r="M18" s="115" t="n">
        <f aca="false">SUM(C18:L18)</f>
        <v>2806.6300416</v>
      </c>
    </row>
    <row r="19" customFormat="false" ht="18" hidden="false" customHeight="true" outlineLevel="0" collapsed="false">
      <c r="A19" s="78" t="s">
        <v>463</v>
      </c>
      <c r="B19" s="94" t="s">
        <v>464</v>
      </c>
      <c r="C19" s="116" t="n">
        <f aca="false">C18*Inputs!$C$26*Inputs!$C$29/100000</f>
        <v>20.31522425856</v>
      </c>
      <c r="D19" s="117" t="n">
        <f aca="false">D18*Inputs!$C$26*Inputs!$C$29/100000</f>
        <v>27.08696567808</v>
      </c>
      <c r="E19" s="116" t="n">
        <f aca="false">E18*Inputs!$C$26*Inputs!$C$29/100000</f>
        <v>33.8587070976</v>
      </c>
      <c r="F19" s="117" t="n">
        <f aca="false">F18*Inputs!$C$26*Inputs!$C$29/100000</f>
        <v>33.8587070976</v>
      </c>
      <c r="G19" s="116" t="n">
        <f aca="false">G18*Inputs!$C$26*Inputs!$C$29/100000</f>
        <v>33.8587070976</v>
      </c>
      <c r="H19" s="117" t="n">
        <f aca="false">H18*Inputs!$C$26*Inputs!$C$29/100000</f>
        <v>33.8587070976</v>
      </c>
      <c r="I19" s="116" t="n">
        <f aca="false">I18*Inputs!$C$26*Inputs!$C$29/100000</f>
        <v>33.8587070976</v>
      </c>
      <c r="J19" s="117" t="n">
        <f aca="false">J18*Inputs!$C$26*Inputs!$C$29/100000</f>
        <v>33.8587070976</v>
      </c>
      <c r="K19" s="116" t="n">
        <f aca="false">K18*Inputs!$C$26*Inputs!$C$29/100000</f>
        <v>33.8587070976</v>
      </c>
      <c r="L19" s="117" t="n">
        <f aca="false">L18*Inputs!$C$26*Inputs!$C$29/100000</f>
        <v>33.8587070976</v>
      </c>
      <c r="M19" s="67" t="n">
        <f aca="false">SUM(C19:L19)</f>
        <v>318.27184671744</v>
      </c>
    </row>
    <row r="20" customFormat="false" ht="18" hidden="false" customHeight="true" outlineLevel="0" collapsed="false">
      <c r="A20" s="80" t="s">
        <v>465</v>
      </c>
      <c r="B20" s="94" t="s">
        <v>466</v>
      </c>
      <c r="C20" s="116" t="n">
        <f aca="false">C17*Inputs!$C$30*Inputs!$C$31/100000</f>
        <v>4.79808</v>
      </c>
      <c r="D20" s="117" t="n">
        <f aca="false">D17*Inputs!$C$30*Inputs!$C$31/100000</f>
        <v>6.39744</v>
      </c>
      <c r="E20" s="116" t="n">
        <f aca="false">E17*Inputs!$C$30*Inputs!$C$31/100000</f>
        <v>7.9968</v>
      </c>
      <c r="F20" s="117" t="n">
        <f aca="false">F17*Inputs!$C$30*Inputs!$C$31/100000</f>
        <v>7.9968</v>
      </c>
      <c r="G20" s="116" t="n">
        <f aca="false">G17*Inputs!$C$30*Inputs!$C$31/100000</f>
        <v>7.9968</v>
      </c>
      <c r="H20" s="117" t="n">
        <f aca="false">H17*Inputs!$C$30*Inputs!$C$31/100000</f>
        <v>7.9968</v>
      </c>
      <c r="I20" s="116" t="n">
        <f aca="false">I17*Inputs!$C$30*Inputs!$C$31/100000</f>
        <v>7.9968</v>
      </c>
      <c r="J20" s="117" t="n">
        <f aca="false">J17*Inputs!$C$30*Inputs!$C$31/100000</f>
        <v>7.9968</v>
      </c>
      <c r="K20" s="116" t="n">
        <f aca="false">K17*Inputs!$C$30*Inputs!$C$31/100000</f>
        <v>7.9968</v>
      </c>
      <c r="L20" s="117" t="n">
        <f aca="false">L17*Inputs!$C$30*Inputs!$C$31/100000</f>
        <v>7.9968</v>
      </c>
      <c r="M20" s="41" t="n">
        <f aca="false">SUM(C20:L20)</f>
        <v>75.16992</v>
      </c>
    </row>
    <row r="21" customFormat="false" ht="18" hidden="false" customHeight="true" outlineLevel="0" collapsed="false">
      <c r="A21" s="85" t="s">
        <v>467</v>
      </c>
      <c r="B21" s="94" t="s">
        <v>468</v>
      </c>
      <c r="C21" s="109" t="n">
        <f aca="false">C19+C20</f>
        <v>25.11330425856</v>
      </c>
      <c r="D21" s="109" t="n">
        <f aca="false">D19+D20</f>
        <v>33.48440567808</v>
      </c>
      <c r="E21" s="109" t="n">
        <f aca="false">E19+E20</f>
        <v>41.8555070976</v>
      </c>
      <c r="F21" s="109" t="n">
        <f aca="false">F19+F20</f>
        <v>41.8555070976</v>
      </c>
      <c r="G21" s="109" t="n">
        <f aca="false">G19+G20</f>
        <v>41.8555070976</v>
      </c>
      <c r="H21" s="109" t="n">
        <f aca="false">H19+H20</f>
        <v>41.8555070976</v>
      </c>
      <c r="I21" s="109" t="n">
        <f aca="false">I19+I20</f>
        <v>41.8555070976</v>
      </c>
      <c r="J21" s="109" t="n">
        <f aca="false">J19+J20</f>
        <v>41.8555070976</v>
      </c>
      <c r="K21" s="109" t="n">
        <f aca="false">K19+K20</f>
        <v>41.8555070976</v>
      </c>
      <c r="L21" s="109" t="n">
        <f aca="false">L19+L20</f>
        <v>41.8555070976</v>
      </c>
      <c r="M21" s="109" t="n">
        <f aca="false">SUM(C21:L21)</f>
        <v>393.44176671744</v>
      </c>
    </row>
    <row r="22" customFormat="false" ht="18" hidden="false" customHeight="true" outlineLevel="0" collapsed="false">
      <c r="A22" s="80" t="s">
        <v>469</v>
      </c>
      <c r="B22" s="94" t="s">
        <v>470</v>
      </c>
      <c r="C22" s="118" t="n">
        <f aca="false">OpEx!$C$15*C16/100000</f>
        <v>13.06353142656</v>
      </c>
      <c r="D22" s="118" t="n">
        <f aca="false">OpEx!$C$15*D16/100000</f>
        <v>17.41804190208</v>
      </c>
      <c r="E22" s="118" t="n">
        <f aca="false">OpEx!$C$15*E16/100000</f>
        <v>21.7725523776</v>
      </c>
      <c r="F22" s="118" t="n">
        <f aca="false">OpEx!$C$15*F16/100000</f>
        <v>21.7725523776</v>
      </c>
      <c r="G22" s="118" t="n">
        <f aca="false">OpEx!$C$15*G16/100000</f>
        <v>21.7725523776</v>
      </c>
      <c r="H22" s="118" t="n">
        <f aca="false">OpEx!$C$15*H16/100000</f>
        <v>21.7725523776</v>
      </c>
      <c r="I22" s="118" t="n">
        <f aca="false">OpEx!$C$15*I16/100000</f>
        <v>21.7725523776</v>
      </c>
      <c r="J22" s="118" t="n">
        <f aca="false">OpEx!$C$15*J16/100000</f>
        <v>21.7725523776</v>
      </c>
      <c r="K22" s="118" t="n">
        <f aca="false">OpEx!$C$15*K16/100000</f>
        <v>21.7725523776</v>
      </c>
      <c r="L22" s="118" t="n">
        <f aca="false">OpEx!$C$15*L16/100000</f>
        <v>21.7725523776</v>
      </c>
      <c r="M22" s="41" t="n">
        <f aca="false">SUM(C22:L22)</f>
        <v>204.66199234944</v>
      </c>
    </row>
    <row r="23" customFormat="false" ht="18" hidden="false" customHeight="true" outlineLevel="0" collapsed="false">
      <c r="A23" s="85" t="s">
        <v>471</v>
      </c>
      <c r="B23" s="94" t="s">
        <v>433</v>
      </c>
      <c r="C23" s="109" t="n">
        <f aca="false">C21-C22</f>
        <v>12.049772832</v>
      </c>
      <c r="D23" s="109" t="n">
        <f aca="false">D21-D22</f>
        <v>16.066363776</v>
      </c>
      <c r="E23" s="109" t="n">
        <f aca="false">E21-E22</f>
        <v>20.08295472</v>
      </c>
      <c r="F23" s="109" t="n">
        <f aca="false">F21-F22</f>
        <v>20.08295472</v>
      </c>
      <c r="G23" s="109" t="n">
        <f aca="false">G21-G22</f>
        <v>20.08295472</v>
      </c>
      <c r="H23" s="109" t="n">
        <f aca="false">H21-H22</f>
        <v>20.08295472</v>
      </c>
      <c r="I23" s="109" t="n">
        <f aca="false">I21-I22</f>
        <v>20.08295472</v>
      </c>
      <c r="J23" s="109" t="n">
        <f aca="false">J21-J22</f>
        <v>20.08295472</v>
      </c>
      <c r="K23" s="109" t="n">
        <f aca="false">K21-K22</f>
        <v>20.08295472</v>
      </c>
      <c r="L23" s="109" t="n">
        <f aca="false">L21-L22</f>
        <v>20.08295472</v>
      </c>
      <c r="M23" s="109" t="n">
        <f aca="false">SUM(C23:L23)</f>
        <v>188.779774368</v>
      </c>
    </row>
    <row r="24" customFormat="false" ht="18" hidden="false" customHeight="true" outlineLevel="0" collapsed="false">
      <c r="A24" s="80" t="s">
        <v>472</v>
      </c>
      <c r="B24" s="94" t="s">
        <v>473</v>
      </c>
      <c r="C24" s="118" t="n">
        <f aca="false">CapEx!$C$22/Inputs!$C$37/100000</f>
        <v>1.533745190384</v>
      </c>
      <c r="D24" s="118" t="n">
        <f aca="false">CapEx!$C$22/Inputs!$C$37/100000</f>
        <v>1.533745190384</v>
      </c>
      <c r="E24" s="118" t="n">
        <f aca="false">CapEx!$C$22/Inputs!$C$37/100000</f>
        <v>1.533745190384</v>
      </c>
      <c r="F24" s="118" t="n">
        <f aca="false">CapEx!$C$22/Inputs!$C$37/100000</f>
        <v>1.533745190384</v>
      </c>
      <c r="G24" s="118" t="n">
        <f aca="false">CapEx!$C$22/Inputs!$C$37/100000</f>
        <v>1.533745190384</v>
      </c>
      <c r="H24" s="118" t="n">
        <f aca="false">CapEx!$C$22/Inputs!$C$37/100000</f>
        <v>1.533745190384</v>
      </c>
      <c r="I24" s="118" t="n">
        <f aca="false">CapEx!$C$22/Inputs!$C$37/100000</f>
        <v>1.533745190384</v>
      </c>
      <c r="J24" s="118" t="n">
        <f aca="false">CapEx!$C$22/Inputs!$C$37/100000</f>
        <v>1.533745190384</v>
      </c>
      <c r="K24" s="118" t="n">
        <f aca="false">CapEx!$C$22/Inputs!$C$37/100000</f>
        <v>1.533745190384</v>
      </c>
      <c r="L24" s="118" t="n">
        <f aca="false">CapEx!$C$22/Inputs!$C$37/100000</f>
        <v>1.533745190384</v>
      </c>
      <c r="M24" s="41" t="n">
        <f aca="false">SUM(C24:L24)</f>
        <v>15.33745190384</v>
      </c>
    </row>
    <row r="25" customFormat="false" ht="18" hidden="false" customHeight="true" outlineLevel="0" collapsed="false">
      <c r="A25" s="78" t="s">
        <v>474</v>
      </c>
      <c r="B25" s="94" t="s">
        <v>475</v>
      </c>
      <c r="C25" s="109" t="n">
        <f aca="false">C23-C24</f>
        <v>10.516027641616</v>
      </c>
      <c r="D25" s="109" t="n">
        <f aca="false">D23-D24</f>
        <v>14.532618585616</v>
      </c>
      <c r="E25" s="109" t="n">
        <f aca="false">E23-E24</f>
        <v>18.549209529616</v>
      </c>
      <c r="F25" s="109" t="n">
        <f aca="false">F23-F24</f>
        <v>18.549209529616</v>
      </c>
      <c r="G25" s="109" t="n">
        <f aca="false">G23-G24</f>
        <v>18.549209529616</v>
      </c>
      <c r="H25" s="109" t="n">
        <f aca="false">H23-H24</f>
        <v>18.549209529616</v>
      </c>
      <c r="I25" s="109" t="n">
        <f aca="false">I23-I24</f>
        <v>18.549209529616</v>
      </c>
      <c r="J25" s="109" t="n">
        <f aca="false">J23-J24</f>
        <v>18.549209529616</v>
      </c>
      <c r="K25" s="109" t="n">
        <f aca="false">K23-K24</f>
        <v>18.549209529616</v>
      </c>
      <c r="L25" s="109" t="n">
        <f aca="false">L23-L24</f>
        <v>18.549209529616</v>
      </c>
      <c r="M25" s="67" t="n">
        <f aca="false">SUM(C25:L25)</f>
        <v>173.44232246416</v>
      </c>
    </row>
    <row r="26" customFormat="false" ht="18" hidden="false" customHeight="true" outlineLevel="0" collapsed="false">
      <c r="A26" s="80" t="s">
        <v>476</v>
      </c>
      <c r="B26" s="94" t="s">
        <v>477</v>
      </c>
      <c r="C26" s="105" t="n">
        <f aca="false">MAX(C25*Inputs!$C$36,0)</f>
        <v>2.629006910404</v>
      </c>
      <c r="D26" s="105" t="n">
        <f aca="false">MAX(D25*Inputs!$C$36,0)</f>
        <v>3.633154646404</v>
      </c>
      <c r="E26" s="105" t="n">
        <f aca="false">MAX(E25*Inputs!$C$36,0)</f>
        <v>4.637302382404</v>
      </c>
      <c r="F26" s="105" t="n">
        <f aca="false">MAX(F25*Inputs!$C$36,0)</f>
        <v>4.637302382404</v>
      </c>
      <c r="G26" s="105" t="n">
        <f aca="false">MAX(G25*Inputs!$C$36,0)</f>
        <v>4.637302382404</v>
      </c>
      <c r="H26" s="105" t="n">
        <f aca="false">MAX(H25*Inputs!$C$36,0)</f>
        <v>4.637302382404</v>
      </c>
      <c r="I26" s="105" t="n">
        <f aca="false">MAX(I25*Inputs!$C$36,0)</f>
        <v>4.637302382404</v>
      </c>
      <c r="J26" s="105" t="n">
        <f aca="false">MAX(J25*Inputs!$C$36,0)</f>
        <v>4.637302382404</v>
      </c>
      <c r="K26" s="105" t="n">
        <f aca="false">MAX(K25*Inputs!$C$36,0)</f>
        <v>4.637302382404</v>
      </c>
      <c r="L26" s="105" t="n">
        <f aca="false">MAX(L25*Inputs!$C$36,0)</f>
        <v>4.637302382404</v>
      </c>
      <c r="M26" s="41" t="n">
        <f aca="false">SUM(C26:L26)</f>
        <v>43.36058061604</v>
      </c>
    </row>
    <row r="27" customFormat="false" ht="18" hidden="false" customHeight="true" outlineLevel="0" collapsed="false">
      <c r="A27" s="85" t="s">
        <v>478</v>
      </c>
      <c r="B27" s="94" t="s">
        <v>440</v>
      </c>
      <c r="C27" s="109" t="n">
        <f aca="false">C25-C26</f>
        <v>7.887020731212</v>
      </c>
      <c r="D27" s="109" t="n">
        <f aca="false">D25-D26</f>
        <v>10.899463939212</v>
      </c>
      <c r="E27" s="109" t="n">
        <f aca="false">E25-E26</f>
        <v>13.911907147212</v>
      </c>
      <c r="F27" s="109" t="n">
        <f aca="false">F25-F26</f>
        <v>13.911907147212</v>
      </c>
      <c r="G27" s="109" t="n">
        <f aca="false">G25-G26</f>
        <v>13.911907147212</v>
      </c>
      <c r="H27" s="109" t="n">
        <f aca="false">H25-H26</f>
        <v>13.911907147212</v>
      </c>
      <c r="I27" s="109" t="n">
        <f aca="false">I25-I26</f>
        <v>13.911907147212</v>
      </c>
      <c r="J27" s="109" t="n">
        <f aca="false">J25-J26</f>
        <v>13.911907147212</v>
      </c>
      <c r="K27" s="109" t="n">
        <f aca="false">K25-K26</f>
        <v>13.911907147212</v>
      </c>
      <c r="L27" s="109" t="n">
        <f aca="false">L25-L26</f>
        <v>13.911907147212</v>
      </c>
      <c r="M27" s="109" t="n">
        <f aca="false">SUM(C27:L27)</f>
        <v>130.08174184812</v>
      </c>
    </row>
    <row r="28" customFormat="false" ht="18" hidden="false" customHeight="true" outlineLevel="0" collapsed="false">
      <c r="A28" s="80" t="s">
        <v>479</v>
      </c>
      <c r="B28" s="94" t="s">
        <v>442</v>
      </c>
      <c r="C28" s="109" t="n">
        <f aca="false">C27+C24</f>
        <v>9.420765921596</v>
      </c>
      <c r="D28" s="109" t="n">
        <f aca="false">D27+D24</f>
        <v>12.433209129596</v>
      </c>
      <c r="E28" s="109" t="n">
        <f aca="false">E27+E24</f>
        <v>15.445652337596</v>
      </c>
      <c r="F28" s="109" t="n">
        <f aca="false">F27+F24</f>
        <v>15.445652337596</v>
      </c>
      <c r="G28" s="109" t="n">
        <f aca="false">G27+G24</f>
        <v>15.445652337596</v>
      </c>
      <c r="H28" s="109" t="n">
        <f aca="false">H27+H24</f>
        <v>15.445652337596</v>
      </c>
      <c r="I28" s="109" t="n">
        <f aca="false">I27+I24</f>
        <v>15.445652337596</v>
      </c>
      <c r="J28" s="109" t="n">
        <f aca="false">J27+J24</f>
        <v>15.445652337596</v>
      </c>
      <c r="K28" s="109" t="n">
        <f aca="false">K27+K24</f>
        <v>15.445652337596</v>
      </c>
      <c r="L28" s="109" t="n">
        <f aca="false">L27+L24</f>
        <v>15.445652337596</v>
      </c>
      <c r="M28" s="41" t="n">
        <f aca="false">SUM(C28:L28)</f>
        <v>145.41919375196</v>
      </c>
    </row>
    <row r="29" customFormat="false" ht="18" hidden="false" customHeight="true" outlineLevel="0" collapsed="false">
      <c r="A29" s="78" t="s">
        <v>480</v>
      </c>
      <c r="B29" s="94" t="s">
        <v>481</v>
      </c>
      <c r="C29" s="119" t="n">
        <f aca="false">C28</f>
        <v>9.420765921596</v>
      </c>
      <c r="D29" s="119" t="n">
        <f aca="false">D28+C29</f>
        <v>21.853975051192</v>
      </c>
      <c r="E29" s="119" t="n">
        <f aca="false">E28+D29</f>
        <v>37.299627388788</v>
      </c>
      <c r="F29" s="119" t="n">
        <f aca="false">F28+E29</f>
        <v>52.745279726384</v>
      </c>
      <c r="G29" s="119" t="n">
        <f aca="false">G28+F29</f>
        <v>68.19093206398</v>
      </c>
      <c r="H29" s="119" t="n">
        <f aca="false">H28+G29</f>
        <v>83.636584401576</v>
      </c>
      <c r="I29" s="119" t="n">
        <f aca="false">I28+H29</f>
        <v>99.082236739172</v>
      </c>
      <c r="J29" s="119" t="n">
        <f aca="false">J28+I29</f>
        <v>114.527889076768</v>
      </c>
      <c r="K29" s="119" t="n">
        <f aca="false">K28+J29</f>
        <v>129.973541414364</v>
      </c>
      <c r="L29" s="119" t="n">
        <f aca="false">L28+K29</f>
        <v>145.41919375196</v>
      </c>
      <c r="M29" s="120" t="s">
        <v>99</v>
      </c>
    </row>
    <row r="30" customFormat="false" ht="18" hidden="false" customHeight="true" outlineLevel="0" collapsed="false">
      <c r="A30" s="80" t="s">
        <v>482</v>
      </c>
      <c r="B30" s="94" t="s">
        <v>483</v>
      </c>
      <c r="C30" s="105" t="n">
        <f aca="false">-CapEx!$C$22/100000</f>
        <v>-15.33745190384</v>
      </c>
      <c r="D30" s="105" t="n">
        <v>0</v>
      </c>
      <c r="E30" s="105" t="n">
        <v>0</v>
      </c>
      <c r="F30" s="105" t="n">
        <v>0</v>
      </c>
      <c r="G30" s="105" t="n">
        <v>0</v>
      </c>
      <c r="H30" s="105" t="n">
        <v>0</v>
      </c>
      <c r="I30" s="105" t="n">
        <v>0</v>
      </c>
      <c r="J30" s="105" t="n">
        <v>0</v>
      </c>
      <c r="K30" s="105" t="n">
        <v>0</v>
      </c>
      <c r="L30" s="105" t="n">
        <v>0</v>
      </c>
      <c r="M30" s="41" t="n">
        <f aca="false">SUM(C30:L30)</f>
        <v>-15.33745190384</v>
      </c>
    </row>
    <row r="31" customFormat="false" ht="18" hidden="false" customHeight="true" outlineLevel="0" collapsed="false">
      <c r="A31" s="78" t="s">
        <v>484</v>
      </c>
      <c r="B31" s="94" t="s">
        <v>485</v>
      </c>
      <c r="C31" s="109" t="n">
        <f aca="false">C28+C30</f>
        <v>-5.916685982244</v>
      </c>
      <c r="D31" s="109" t="n">
        <f aca="false">D28+D30</f>
        <v>12.433209129596</v>
      </c>
      <c r="E31" s="109" t="n">
        <f aca="false">E28+E30</f>
        <v>15.445652337596</v>
      </c>
      <c r="F31" s="109" t="n">
        <f aca="false">F28+F30</f>
        <v>15.445652337596</v>
      </c>
      <c r="G31" s="109" t="n">
        <f aca="false">G28+G30</f>
        <v>15.445652337596</v>
      </c>
      <c r="H31" s="109" t="n">
        <f aca="false">H28+H30</f>
        <v>15.445652337596</v>
      </c>
      <c r="I31" s="109" t="n">
        <f aca="false">I28+I30</f>
        <v>15.445652337596</v>
      </c>
      <c r="J31" s="109" t="n">
        <f aca="false">J28+J30</f>
        <v>15.445652337596</v>
      </c>
      <c r="K31" s="109" t="n">
        <f aca="false">K28+K30</f>
        <v>15.445652337596</v>
      </c>
      <c r="L31" s="109" t="n">
        <f aca="false">L28+L30</f>
        <v>15.445652337596</v>
      </c>
      <c r="M31" s="67" t="n">
        <f aca="false">SUM(C31:L31)</f>
        <v>130.08174184812</v>
      </c>
    </row>
  </sheetData>
  <mergeCells count="4">
    <mergeCell ref="A1:M1"/>
    <mergeCell ref="A2:M2"/>
    <mergeCell ref="A3:G3"/>
    <mergeCell ref="A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6" min="3" style="1" width="18"/>
  </cols>
  <sheetData>
    <row r="1" customFormat="false" ht="24" hidden="false" customHeight="true" outlineLevel="0" collapsed="false">
      <c r="A1" s="18" t="s">
        <v>486</v>
      </c>
      <c r="B1" s="18"/>
      <c r="C1" s="18"/>
      <c r="D1" s="18"/>
      <c r="E1" s="18"/>
      <c r="F1" s="18"/>
    </row>
    <row r="2" customFormat="false" ht="15.75" hidden="false" customHeight="true" outlineLevel="0" collapsed="false">
      <c r="A2" s="71" t="s">
        <v>487</v>
      </c>
      <c r="B2" s="71"/>
      <c r="C2" s="71"/>
      <c r="D2" s="71"/>
      <c r="E2" s="71"/>
      <c r="F2" s="71"/>
    </row>
    <row r="3" customFormat="false" ht="19.5" hidden="false" customHeight="true" outlineLevel="0" collapsed="false">
      <c r="A3" s="21" t="s">
        <v>488</v>
      </c>
      <c r="B3" s="21"/>
      <c r="C3" s="21"/>
      <c r="D3" s="21"/>
      <c r="E3" s="21"/>
      <c r="F3" s="21"/>
    </row>
    <row r="4" customFormat="false" ht="31.5" hidden="false" customHeight="true" outlineLevel="0" collapsed="false">
      <c r="A4" s="20" t="s">
        <v>279</v>
      </c>
      <c r="B4" s="20" t="s">
        <v>280</v>
      </c>
      <c r="C4" s="20" t="s">
        <v>222</v>
      </c>
      <c r="D4" s="20" t="s">
        <v>426</v>
      </c>
      <c r="E4" s="20" t="s">
        <v>427</v>
      </c>
      <c r="F4" s="20" t="s">
        <v>48</v>
      </c>
    </row>
    <row r="5" customFormat="false" ht="18" hidden="false" customHeight="true" outlineLevel="0" collapsed="false">
      <c r="A5" s="43" t="s">
        <v>489</v>
      </c>
      <c r="B5" s="26" t="s">
        <v>490</v>
      </c>
      <c r="C5" s="102" t="n">
        <f aca="false">NPV(Inputs!C35, CashFlow!C31:L31)-CapEx!C22/100000</f>
        <v>50.4589109839852</v>
      </c>
      <c r="D5" s="67" t="n">
        <f aca="false">NPV(Inputs!C35, CashFlow!C31:L31)-CapEx!C22/100000</f>
        <v>50.4589109839852</v>
      </c>
      <c r="E5" s="104" t="n">
        <f aca="false">NPV(Inputs!C35, CashFlow!C31:L31)-CapEx!C22/100000</f>
        <v>50.4589109839852</v>
      </c>
      <c r="F5" s="90" t="s">
        <v>241</v>
      </c>
    </row>
    <row r="6" customFormat="false" ht="18" hidden="false" customHeight="true" outlineLevel="0" collapsed="false">
      <c r="A6" s="39" t="s">
        <v>251</v>
      </c>
      <c r="B6" s="26" t="s">
        <v>490</v>
      </c>
      <c r="C6" s="121" t="str">
        <f aca="false">IFERROR(IRR(-CapEx!C22/100000&amp;CashFlow!C28:L28),"N/A")</f>
        <v>N/A</v>
      </c>
      <c r="D6" s="64" t="str">
        <f aca="false">IFERROR(IRR(-CapEx!C22/100000&amp;CashFlow!C28:L28),"N/A")</f>
        <v>N/A</v>
      </c>
      <c r="E6" s="122" t="str">
        <f aca="false">IFERROR(IRR(-CapEx!C22/100000&amp;CashFlow!C28:L28),"N/A")</f>
        <v>N/A</v>
      </c>
      <c r="F6" s="90" t="s">
        <v>104</v>
      </c>
    </row>
    <row r="7" customFormat="false" ht="18" hidden="false" customHeight="true" outlineLevel="0" collapsed="false">
      <c r="A7" s="43" t="s">
        <v>248</v>
      </c>
      <c r="B7" s="26" t="s">
        <v>490</v>
      </c>
      <c r="C7" s="97" t="str">
        <f aca="true">IFERROR(MATCH(TRUE(),MMULT((ROW(INDIRECT("1:10"))&lt;=TRANSPOSE(ROW(INDIRECT("1:10")))),IF(ROW(INDIRECT("1:10"))=1,CashFlow!C28,-CashFlow!C28:L28))&gt;=CapEx!C22/100000,0),"&gt;10 yrs")</f>
        <v>&gt;10 yrs</v>
      </c>
      <c r="D7" s="46" t="str">
        <f aca="true">IFERROR(MATCH(TRUE(),MMULT((ROW(INDIRECT("1:10"))&lt;=TRANSPOSE(ROW(INDIRECT("1:10")))),IF(ROW(INDIRECT("1:10"))=1,CashFlow!C28,-CashFlow!C28:L28))&gt;=CapEx!C22/100000,0),"&gt;10 yrs")</f>
        <v>&gt;10 yrs</v>
      </c>
      <c r="E7" s="123" t="str">
        <f aca="true">IFERROR(MATCH(TRUE(),MMULT((ROW(INDIRECT("1:10"))&lt;=TRANSPOSE(ROW(INDIRECT("1:10")))),IF(ROW(INDIRECT("1:10"))=1,CashFlow!C28,-CashFlow!C28:L28))&gt;=CapEx!C22/100000,0),"&gt;10 yrs")</f>
        <v>&gt;10 yrs</v>
      </c>
      <c r="F7" s="90" t="s">
        <v>201</v>
      </c>
    </row>
    <row r="8" customFormat="false" ht="18" hidden="false" customHeight="true" outlineLevel="0" collapsed="false">
      <c r="A8" s="39" t="s">
        <v>252</v>
      </c>
      <c r="B8" s="26" t="s">
        <v>490</v>
      </c>
      <c r="C8" s="121" t="n">
        <f aca="false">CashFlow!C27/(CapEx!C22/100000)</f>
        <v>0.514232793078057</v>
      </c>
      <c r="D8" s="64" t="n">
        <f aca="false">CashFlow!D27/(CapEx!C22/100000)</f>
        <v>0.710643724104076</v>
      </c>
      <c r="E8" s="122" t="n">
        <f aca="false">CashFlow!F27/(CapEx!C22/100000)</f>
        <v>0.907054655130094</v>
      </c>
      <c r="F8" s="90" t="s">
        <v>104</v>
      </c>
    </row>
    <row r="9" customFormat="false" ht="18" hidden="false" customHeight="true" outlineLevel="0" collapsed="false">
      <c r="A9" s="43" t="s">
        <v>253</v>
      </c>
      <c r="B9" s="26" t="s">
        <v>490</v>
      </c>
      <c r="C9" s="97" t="n">
        <f aca="false">(OpEx!C15-CapEx!C7*Inputs!C30*Inputs!C31)/Revenue!C5/Inputs!C29</f>
        <v>114.843874029612</v>
      </c>
      <c r="D9" s="46" t="n">
        <f aca="false">(OpEx!C15-CapEx!C7*Inputs!C30*Inputs!C31)/Revenue!C5/Inputs!C29</f>
        <v>114.843874029612</v>
      </c>
      <c r="E9" s="123" t="n">
        <f aca="false">(OpEx!C15-CapEx!C7*Inputs!C30*Inputs!C31)/Revenue!C5/Inputs!C29</f>
        <v>114.843874029612</v>
      </c>
      <c r="F9" s="90" t="s">
        <v>144</v>
      </c>
    </row>
    <row r="10" customFormat="false" ht="18" hidden="false" customHeight="true" outlineLevel="0" collapsed="false">
      <c r="A10" s="39" t="s">
        <v>491</v>
      </c>
      <c r="B10" s="26" t="s">
        <v>490</v>
      </c>
      <c r="C10" s="99" t="n">
        <f aca="false">(OpEx!C15-Revenue!C12)/(Inputs!C30*Inputs!C31/1000)</f>
        <v>-59070.9178285715</v>
      </c>
      <c r="D10" s="49" t="n">
        <f aca="false">(OpEx!C15-Revenue!C12)/(Inputs!C30*Inputs!C31/1000)</f>
        <v>-59070.9178285715</v>
      </c>
      <c r="E10" s="124" t="n">
        <f aca="false">(OpEx!C15-Revenue!C12)/(Inputs!C30*Inputs!C31/1000)</f>
        <v>-59070.9178285715</v>
      </c>
      <c r="F10" s="90" t="s">
        <v>234</v>
      </c>
    </row>
    <row r="11" customFormat="false" ht="18" hidden="false" customHeight="true" outlineLevel="0" collapsed="false">
      <c r="A11" s="43" t="s">
        <v>492</v>
      </c>
      <c r="B11" s="26" t="s">
        <v>490</v>
      </c>
      <c r="C11" s="125" t="n">
        <f aca="false">CashFlow!C8/CashFlow!C6</f>
        <v>0.117406629210971</v>
      </c>
      <c r="D11" s="61" t="n">
        <f aca="false">CashFlow!D8/CashFlow!D6</f>
        <v>0.0704439775265827</v>
      </c>
      <c r="E11" s="126" t="n">
        <f aca="false">CashFlow!E23/CashFlow!E21</f>
        <v>0.479816304056953</v>
      </c>
      <c r="F11" s="90" t="s">
        <v>104</v>
      </c>
    </row>
    <row r="12" customFormat="false" ht="18" hidden="false" customHeight="true" outlineLevel="0" collapsed="false">
      <c r="A12" s="39" t="s">
        <v>493</v>
      </c>
      <c r="B12" s="26" t="s">
        <v>490</v>
      </c>
      <c r="C12" s="99" t="n">
        <f aca="false">Revenue!C5*10</f>
        <v>1428</v>
      </c>
      <c r="D12" s="49" t="n">
        <f aca="false">Revenue!C5*10</f>
        <v>1428</v>
      </c>
      <c r="E12" s="124" t="n">
        <f aca="false">Revenue!C5*10</f>
        <v>1428</v>
      </c>
      <c r="F12" s="90" t="s">
        <v>255</v>
      </c>
    </row>
    <row r="14" customFormat="false" ht="19.5" hidden="false" customHeight="true" outlineLevel="0" collapsed="false">
      <c r="A14" s="21" t="s">
        <v>494</v>
      </c>
      <c r="B14" s="21"/>
      <c r="C14" s="21"/>
      <c r="D14" s="21"/>
      <c r="E14" s="21"/>
      <c r="F14" s="21"/>
    </row>
    <row r="15" customFormat="false" ht="31.5" hidden="false" customHeight="true" outlineLevel="0" collapsed="false">
      <c r="A15" s="20" t="s">
        <v>409</v>
      </c>
      <c r="B15" s="20" t="s">
        <v>495</v>
      </c>
      <c r="C15" s="20" t="s">
        <v>496</v>
      </c>
      <c r="D15" s="20" t="s">
        <v>471</v>
      </c>
      <c r="E15" s="20" t="s">
        <v>497</v>
      </c>
      <c r="F15" s="20" t="s">
        <v>498</v>
      </c>
    </row>
    <row r="16" customFormat="false" ht="16.5" hidden="false" customHeight="true" outlineLevel="0" collapsed="false">
      <c r="A16" s="127" t="n">
        <v>80</v>
      </c>
      <c r="B16" s="100" t="n">
        <f aca="false">Revenue!C5</f>
        <v>142.8</v>
      </c>
      <c r="C16" s="105" t="n">
        <f aca="false">B16*80*Inputs!C29/100000+Revenue!C13/100000</f>
        <v>17.59296</v>
      </c>
      <c r="D16" s="105" t="n">
        <f aca="false">C16-OpEx!C15/100000</f>
        <v>-4.1795923776</v>
      </c>
      <c r="E16" s="99" t="n">
        <f aca="false">CapEx!C22/100000/MAX(D16,0.01)</f>
        <v>1533.745190384</v>
      </c>
      <c r="F16" s="128" t="n">
        <f aca="false">D16*((1-POWER(1+Inputs!$C$35,-Inputs!$C$37))/Inputs!$C$35)-CapEx!$C$22/100000</f>
        <v>-38.9530810051261</v>
      </c>
    </row>
    <row r="17" customFormat="false" ht="16.5" hidden="false" customHeight="true" outlineLevel="0" collapsed="false">
      <c r="A17" s="129" t="n">
        <v>100</v>
      </c>
      <c r="B17" s="93" t="n">
        <f aca="false">Revenue!C5</f>
        <v>142.8</v>
      </c>
      <c r="C17" s="102" t="n">
        <f aca="false">B17*100*Inputs!C29/100000+Revenue!C13/100000</f>
        <v>19.992</v>
      </c>
      <c r="D17" s="102" t="n">
        <f aca="false">C17-OpEx!C15/100000</f>
        <v>-1.7805523776</v>
      </c>
      <c r="E17" s="97" t="n">
        <f aca="false">CapEx!C22/100000/MAX(D17,0.01)</f>
        <v>1533.745190384</v>
      </c>
      <c r="F17" s="128" t="n">
        <f aca="false">D17*((1-POWER(1+Inputs!$C$35,-Inputs!$C$37))/Inputs!$C$35)-CapEx!$C$22/100000</f>
        <v>-25.3979699510472</v>
      </c>
    </row>
    <row r="18" customFormat="false" ht="16.5" hidden="false" customHeight="true" outlineLevel="0" collapsed="false">
      <c r="A18" s="127" t="n">
        <v>120</v>
      </c>
      <c r="B18" s="100" t="n">
        <f aca="false">Revenue!C5</f>
        <v>142.8</v>
      </c>
      <c r="C18" s="105" t="n">
        <f aca="false">B18*120*Inputs!C29/100000+Revenue!C13/100000</f>
        <v>22.39104</v>
      </c>
      <c r="D18" s="105" t="n">
        <f aca="false">C18-OpEx!C15/100000</f>
        <v>0.6184876224</v>
      </c>
      <c r="E18" s="99" t="n">
        <f aca="false">CapEx!C22/100000/MAX(D18,0.01)</f>
        <v>24.7983166491256</v>
      </c>
      <c r="F18" s="128" t="n">
        <f aca="false">D18*((1-POWER(1+Inputs!$C$35,-Inputs!$C$37))/Inputs!$C$35)-CapEx!$C$22/100000</f>
        <v>-11.8428588969684</v>
      </c>
    </row>
    <row r="19" customFormat="false" ht="16.5" hidden="false" customHeight="true" outlineLevel="0" collapsed="false">
      <c r="A19" s="130" t="n">
        <v>135</v>
      </c>
      <c r="B19" s="131" t="n">
        <f aca="false">Revenue!C5</f>
        <v>142.8</v>
      </c>
      <c r="C19" s="132" t="n">
        <f aca="false">B19*135*Inputs!C29/100000+Revenue!C13/100000</f>
        <v>24.19032</v>
      </c>
      <c r="D19" s="132" t="n">
        <f aca="false">C19-OpEx!C15/100000</f>
        <v>2.4177676224</v>
      </c>
      <c r="E19" s="133" t="n">
        <f aca="false">CapEx!C22/100000/MAX(D19,0.01)</f>
        <v>6.34364186274248</v>
      </c>
      <c r="F19" s="128" t="n">
        <f aca="false">D19*((1-POWER(1+Inputs!$C$35,-Inputs!$C$37))/Inputs!$C$35)-CapEx!$C$22/100000</f>
        <v>-1.67652560640933</v>
      </c>
    </row>
    <row r="20" customFormat="false" ht="16.5" hidden="false" customHeight="true" outlineLevel="0" collapsed="false">
      <c r="A20" s="127" t="n">
        <v>150</v>
      </c>
      <c r="B20" s="100" t="n">
        <f aca="false">Revenue!C5</f>
        <v>142.8</v>
      </c>
      <c r="C20" s="105" t="n">
        <f aca="false">B20*150*Inputs!C29/100000+Revenue!C13/100000</f>
        <v>25.9896</v>
      </c>
      <c r="D20" s="105" t="n">
        <f aca="false">C20-OpEx!C15/100000</f>
        <v>4.2170476224</v>
      </c>
      <c r="E20" s="99" t="n">
        <f aca="false">CapEx!C22/100000/MAX(D20,0.01)</f>
        <v>3.63701178577423</v>
      </c>
      <c r="F20" s="128" t="n">
        <f aca="false">D20*((1-POWER(1+Inputs!$C$35,-Inputs!$C$37))/Inputs!$C$35)-CapEx!$C$22/100000</f>
        <v>8.48980768414977</v>
      </c>
    </row>
    <row r="21" customFormat="false" ht="16.5" hidden="false" customHeight="true" outlineLevel="0" collapsed="false">
      <c r="A21" s="129" t="n">
        <v>164</v>
      </c>
      <c r="B21" s="93" t="n">
        <f aca="false">Revenue!C5</f>
        <v>142.8</v>
      </c>
      <c r="C21" s="102" t="n">
        <f aca="false">B21*164*Inputs!C29/100000+Revenue!C13/100000</f>
        <v>27.668928</v>
      </c>
      <c r="D21" s="102" t="n">
        <f aca="false">C21-OpEx!C15/100000</f>
        <v>5.8963756224</v>
      </c>
      <c r="E21" s="97" t="n">
        <f aca="false">CapEx!C22/100000/MAX(D21,0.01)</f>
        <v>2.601166018931</v>
      </c>
      <c r="F21" s="128" t="n">
        <f aca="false">D21*((1-POWER(1+Inputs!$C$35,-Inputs!$C$37))/Inputs!$C$35)-CapEx!$C$22/100000</f>
        <v>17.9783854220049</v>
      </c>
    </row>
    <row r="22" customFormat="false" ht="16.5" hidden="false" customHeight="true" outlineLevel="0" collapsed="false">
      <c r="A22" s="127" t="n">
        <v>187</v>
      </c>
      <c r="B22" s="100" t="n">
        <f aca="false">Revenue!C5</f>
        <v>142.8</v>
      </c>
      <c r="C22" s="105" t="n">
        <f aca="false">B22*187*Inputs!C29/100000+Revenue!C13/100000</f>
        <v>30.427824</v>
      </c>
      <c r="D22" s="105" t="n">
        <f aca="false">C22-OpEx!C15/100000</f>
        <v>8.6552716224</v>
      </c>
      <c r="E22" s="99" t="n">
        <f aca="false">CapEx!C22/100000/MAX(D22,0.01)</f>
        <v>1.77203588436744</v>
      </c>
      <c r="F22" s="128" t="n">
        <f aca="false">D22*((1-POWER(1+Inputs!$C$35,-Inputs!$C$37))/Inputs!$C$35)-CapEx!$C$22/100000</f>
        <v>33.5667631341956</v>
      </c>
    </row>
    <row r="23" customFormat="false" ht="16.5" hidden="false" customHeight="true" outlineLevel="0" collapsed="false">
      <c r="A23" s="129" t="n">
        <v>210</v>
      </c>
      <c r="B23" s="93" t="n">
        <f aca="false">Revenue!C5</f>
        <v>142.8</v>
      </c>
      <c r="C23" s="102" t="n">
        <f aca="false">B23*210*Inputs!C29/100000+Revenue!C13/100000</f>
        <v>33.18672</v>
      </c>
      <c r="D23" s="102" t="n">
        <f aca="false">C23-OpEx!C15/100000</f>
        <v>11.4141676224</v>
      </c>
      <c r="E23" s="97" t="n">
        <f aca="false">CapEx!C22/100000/MAX(D23,0.01)</f>
        <v>1.34372057702575</v>
      </c>
      <c r="F23" s="128" t="n">
        <f aca="false">D23*((1-POWER(1+Inputs!$C$35,-Inputs!$C$37))/Inputs!$C$35)-CapEx!$C$22/100000</f>
        <v>49.1551408463862</v>
      </c>
    </row>
  </sheetData>
  <mergeCells count="4">
    <mergeCell ref="A1:F1"/>
    <mergeCell ref="A2:F2"/>
    <mergeCell ref="A3:F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6" min="4" style="1" width="18"/>
    <col collapsed="false" customWidth="true" hidden="false" outlineLevel="0" max="7" min="7" style="1" width="14"/>
  </cols>
  <sheetData>
    <row r="1" customFormat="false" ht="24" hidden="false" customHeight="true" outlineLevel="0" collapsed="false">
      <c r="A1" s="18" t="s">
        <v>499</v>
      </c>
      <c r="B1" s="18"/>
      <c r="C1" s="18"/>
      <c r="D1" s="18"/>
      <c r="E1" s="18"/>
      <c r="F1" s="18"/>
      <c r="G1" s="18"/>
    </row>
    <row r="2" customFormat="false" ht="15.75" hidden="false" customHeight="true" outlineLevel="0" collapsed="false">
      <c r="A2" s="87" t="s">
        <v>500</v>
      </c>
      <c r="B2" s="87"/>
      <c r="C2" s="87"/>
      <c r="D2" s="87"/>
      <c r="E2" s="87"/>
      <c r="F2" s="87"/>
      <c r="G2" s="87"/>
    </row>
    <row r="3" customFormat="false" ht="19.5" hidden="false" customHeight="true" outlineLevel="0" collapsed="false">
      <c r="A3" s="21" t="s">
        <v>501</v>
      </c>
      <c r="B3" s="21"/>
      <c r="C3" s="21"/>
      <c r="D3" s="21"/>
      <c r="E3" s="21"/>
      <c r="F3" s="21"/>
      <c r="G3" s="21"/>
    </row>
    <row r="4" customFormat="false" ht="31.5" hidden="false" customHeight="true" outlineLevel="0" collapsed="false">
      <c r="A4" s="20" t="s">
        <v>502</v>
      </c>
      <c r="B4" s="20" t="s">
        <v>503</v>
      </c>
      <c r="C4" s="20" t="s">
        <v>504</v>
      </c>
      <c r="D4" s="20" t="s">
        <v>505</v>
      </c>
      <c r="E4" s="20" t="s">
        <v>506</v>
      </c>
      <c r="F4" s="20" t="s">
        <v>507</v>
      </c>
      <c r="G4" s="20" t="s">
        <v>508</v>
      </c>
    </row>
    <row r="5" customFormat="false" ht="19.5" hidden="false" customHeight="true" outlineLevel="0" collapsed="false">
      <c r="A5" s="134" t="s">
        <v>509</v>
      </c>
      <c r="B5" s="135" t="n">
        <v>80</v>
      </c>
      <c r="C5" s="136" t="n">
        <v>5</v>
      </c>
      <c r="D5" s="137" t="n">
        <f aca="false">5*Inputs!C6*Inputs!C7*Inputs!C8*(1-Inputs!C9)*Inputs!C10/1000*Inputs!C13*(1-Inputs!C33)</f>
        <v>-149438.52</v>
      </c>
      <c r="E5" s="138" t="n">
        <f aca="false">(5*Inputs!C6*Inputs!C7*Inputs!C8*(1-Inputs!C9)*Inputs!C10/1000*Inputs!C13*(1-Inputs!C33))*80*Inputs!C29/100000 + (5*Inputs!C6*Inputs!C7*Inputs!C8*(1-Inputs!C9)*Inputs!C10/1000)*Inputs!C30*Inputs!C31/100000</f>
        <v>-20608.628544</v>
      </c>
      <c r="F5" s="138" t="n">
        <f aca="false">((5*Inputs!C6*Inputs!C7*Inputs!C8*(1-Inputs!C9)*Inputs!C10/1000*Inputs!C13*(1-Inputs!C33))*80*Inputs!C29/100000 + (5*Inputs!C6*Inputs!C7*Inputs!C8*(1-Inputs!C9)*Inputs!C10/1000)*Inputs!C30*Inputs!C31/100000) - (OpEx!C15*5/Inputs!C5/100000)</f>
        <v>-20630.4010963776</v>
      </c>
      <c r="G5" s="139" t="n">
        <f aca="false">CapEx!C22*(MAX(5/Inputs!C5,1))/100000/MAX(((5*Inputs!C6*Inputs!C7*Inputs!C8*(1-Inputs!C9)*Inputs!C10/1000*Inputs!C13*(1-Inputs!C33))*80*Inputs!C29/100000 + (5*Inputs!C6*Inputs!C7*Inputs!C8*(1-Inputs!C9)*Inputs!C10/1000)*Inputs!C30*Inputs!C31/100000) - (OpEx!C15*5/Inputs!C5/100000),0.001)</f>
        <v>15337.45190384</v>
      </c>
    </row>
    <row r="6" customFormat="false" ht="19.5" hidden="false" customHeight="true" outlineLevel="0" collapsed="false">
      <c r="A6" s="140" t="s">
        <v>510</v>
      </c>
      <c r="B6" s="141" t="n">
        <v>100</v>
      </c>
      <c r="C6" s="142" t="n">
        <v>5</v>
      </c>
      <c r="D6" s="143" t="n">
        <f aca="false">5*Inputs!C6*Inputs!C7*Inputs!C8*(1-Inputs!C9)*Inputs!C10/1000*Inputs!C13*(1-Inputs!C33)</f>
        <v>-149438.52</v>
      </c>
      <c r="E6" s="144" t="n">
        <f aca="false">(5*Inputs!C6*Inputs!C7*Inputs!C8*(1-Inputs!C9)*Inputs!C10/1000*Inputs!C13*(1-Inputs!C33))*100*Inputs!C29/100000 + (5*Inputs!C6*Inputs!C7*Inputs!C8*(1-Inputs!C9)*Inputs!C10/1000)*Inputs!C30*Inputs!C31/100000</f>
        <v>-23119.19568</v>
      </c>
      <c r="F6" s="144" t="n">
        <f aca="false">((5*Inputs!C6*Inputs!C7*Inputs!C8*(1-Inputs!C9)*Inputs!C10/1000*Inputs!C13*(1-Inputs!C33))*100*Inputs!C29/100000 + (5*Inputs!C6*Inputs!C7*Inputs!C8*(1-Inputs!C9)*Inputs!C10/1000)*Inputs!C30*Inputs!C31/100000) - (OpEx!C15*5/Inputs!C5/100000)</f>
        <v>-23140.9682323776</v>
      </c>
      <c r="G6" s="145" t="n">
        <f aca="false">CapEx!C22*(MAX(5/Inputs!C5,1))/100000/MAX(((5*Inputs!C6*Inputs!C7*Inputs!C8*(1-Inputs!C9)*Inputs!C10/1000*Inputs!C13*(1-Inputs!C33))*100*Inputs!C29/100000 + (5*Inputs!C6*Inputs!C7*Inputs!C8*(1-Inputs!C9)*Inputs!C10/1000)*Inputs!C30*Inputs!C31/100000) - (OpEx!C15*5/Inputs!C5/100000),0.001)</f>
        <v>15337.45190384</v>
      </c>
    </row>
    <row r="7" customFormat="false" ht="19.5" hidden="false" customHeight="true" outlineLevel="0" collapsed="false">
      <c r="A7" s="146" t="s">
        <v>511</v>
      </c>
      <c r="B7" s="130" t="n">
        <v>135</v>
      </c>
      <c r="C7" s="147" t="n">
        <v>5</v>
      </c>
      <c r="D7" s="148" t="n">
        <f aca="false">5*Inputs!C6*Inputs!C7*Inputs!C8*(1-Inputs!C9)*Inputs!C10/1000*Inputs!C13*(1-Inputs!C33)</f>
        <v>-149438.52</v>
      </c>
      <c r="E7" s="132" t="n">
        <f aca="false">(5*Inputs!C6*Inputs!C7*Inputs!C8*(1-Inputs!C9)*Inputs!C10/1000*Inputs!C13*(1-Inputs!C33))*135*Inputs!C29/100000 + (5*Inputs!C6*Inputs!C7*Inputs!C8*(1-Inputs!C9)*Inputs!C10/1000)*Inputs!C30*Inputs!C31/100000</f>
        <v>-27512.688168</v>
      </c>
      <c r="F7" s="132" t="n">
        <f aca="false">((5*Inputs!C6*Inputs!C7*Inputs!C8*(1-Inputs!C9)*Inputs!C10/1000*Inputs!C13*(1-Inputs!C33))*135*Inputs!C29/100000 + (5*Inputs!C6*Inputs!C7*Inputs!C8*(1-Inputs!C9)*Inputs!C10/1000)*Inputs!C30*Inputs!C31/100000) - (OpEx!C15*5/Inputs!C5/100000)</f>
        <v>-27534.4607203776</v>
      </c>
      <c r="G7" s="133" t="n">
        <f aca="false">CapEx!C22*(MAX(5/Inputs!C5,1))/100000/MAX(((5*Inputs!C6*Inputs!C7*Inputs!C8*(1-Inputs!C9)*Inputs!C10/1000*Inputs!C13*(1-Inputs!C33))*135*Inputs!C29/100000 + (5*Inputs!C6*Inputs!C7*Inputs!C8*(1-Inputs!C9)*Inputs!C10/1000)*Inputs!C30*Inputs!C31/100000) - (OpEx!C15*5/Inputs!C5/100000),0.001)</f>
        <v>15337.45190384</v>
      </c>
    </row>
    <row r="8" customFormat="false" ht="19.5" hidden="false" customHeight="true" outlineLevel="0" collapsed="false">
      <c r="A8" s="149" t="s">
        <v>512</v>
      </c>
      <c r="B8" s="150" t="n">
        <v>164</v>
      </c>
      <c r="C8" s="151" t="n">
        <v>5</v>
      </c>
      <c r="D8" s="152" t="n">
        <f aca="false">5*Inputs!C6*Inputs!C7*Inputs!C8*(1-Inputs!C9)*Inputs!C10/1000*Inputs!C13*(1-Inputs!C33)</f>
        <v>-149438.52</v>
      </c>
      <c r="E8" s="153" t="n">
        <f aca="false">(5*Inputs!C6*Inputs!C7*Inputs!C8*(1-Inputs!C9)*Inputs!C10/1000*Inputs!C13*(1-Inputs!C33))*164*Inputs!C29/100000 + (5*Inputs!C6*Inputs!C7*Inputs!C8*(1-Inputs!C9)*Inputs!C10/1000)*Inputs!C30*Inputs!C31/100000</f>
        <v>-31153.0105152</v>
      </c>
      <c r="F8" s="153" t="n">
        <f aca="false">((5*Inputs!C6*Inputs!C7*Inputs!C8*(1-Inputs!C9)*Inputs!C10/1000*Inputs!C13*(1-Inputs!C33))*164*Inputs!C29/100000 + (5*Inputs!C6*Inputs!C7*Inputs!C8*(1-Inputs!C9)*Inputs!C10/1000)*Inputs!C30*Inputs!C31/100000) - (OpEx!C15*5/Inputs!C5/100000)</f>
        <v>-31174.7830675776</v>
      </c>
      <c r="G8" s="154" t="n">
        <f aca="false">CapEx!C22*(MAX(5/Inputs!C5,1))/100000/MAX(((5*Inputs!C6*Inputs!C7*Inputs!C8*(1-Inputs!C9)*Inputs!C10/1000*Inputs!C13*(1-Inputs!C33))*164*Inputs!C29/100000 + (5*Inputs!C6*Inputs!C7*Inputs!C8*(1-Inputs!C9)*Inputs!C10/1000)*Inputs!C30*Inputs!C31/100000) - (OpEx!C15*5/Inputs!C5/100000),0.001)</f>
        <v>15337.45190384</v>
      </c>
    </row>
    <row r="9" customFormat="false" ht="19.5" hidden="false" customHeight="true" outlineLevel="0" collapsed="false">
      <c r="A9" s="155" t="s">
        <v>513</v>
      </c>
      <c r="B9" s="156" t="n">
        <v>187</v>
      </c>
      <c r="C9" s="157" t="n">
        <v>5</v>
      </c>
      <c r="D9" s="158" t="n">
        <f aca="false">5*Inputs!C6*Inputs!C7*Inputs!C8*(1-Inputs!C9)*Inputs!C10/1000*Inputs!C13*(1-Inputs!C33)</f>
        <v>-149438.52</v>
      </c>
      <c r="E9" s="159" t="n">
        <f aca="false">(5*Inputs!C6*Inputs!C7*Inputs!C8*(1-Inputs!C9)*Inputs!C10/1000*Inputs!C13*(1-Inputs!C33))*187*Inputs!C29/100000 + (5*Inputs!C6*Inputs!C7*Inputs!C8*(1-Inputs!C9)*Inputs!C10/1000)*Inputs!C30*Inputs!C31/100000</f>
        <v>-34040.1627216</v>
      </c>
      <c r="F9" s="159" t="n">
        <f aca="false">((5*Inputs!C6*Inputs!C7*Inputs!C8*(1-Inputs!C9)*Inputs!C10/1000*Inputs!C13*(1-Inputs!C33))*187*Inputs!C29/100000 + (5*Inputs!C6*Inputs!C7*Inputs!C8*(1-Inputs!C9)*Inputs!C10/1000)*Inputs!C30*Inputs!C31/100000) - (OpEx!C15*5/Inputs!C5/100000)</f>
        <v>-34061.9352739776</v>
      </c>
      <c r="G9" s="160" t="n">
        <f aca="false">CapEx!C22*(MAX(5/Inputs!C5,1))/100000/MAX(((5*Inputs!C6*Inputs!C7*Inputs!C8*(1-Inputs!C9)*Inputs!C10/1000*Inputs!C13*(1-Inputs!C33))*187*Inputs!C29/100000 + (5*Inputs!C6*Inputs!C7*Inputs!C8*(1-Inputs!C9)*Inputs!C10/1000)*Inputs!C30*Inputs!C31/100000) - (OpEx!C15*5/Inputs!C5/100000),0.001)</f>
        <v>15337.45190384</v>
      </c>
    </row>
    <row r="10" customFormat="false" ht="19.5" hidden="false" customHeight="true" outlineLevel="0" collapsed="false">
      <c r="A10" s="161" t="s">
        <v>514</v>
      </c>
      <c r="B10" s="162" t="n">
        <v>187</v>
      </c>
      <c r="C10" s="163" t="n">
        <v>10</v>
      </c>
      <c r="D10" s="164" t="n">
        <f aca="false">10*Inputs!C6*Inputs!C7*Inputs!C8*(1-Inputs!C9)*Inputs!C10/1000*Inputs!C13*(1-Inputs!C33)</f>
        <v>-298877.04</v>
      </c>
      <c r="E10" s="165" t="n">
        <f aca="false">(10*Inputs!C6*Inputs!C7*Inputs!C8*(1-Inputs!C9)*Inputs!C10/1000*Inputs!C13*(1-Inputs!C33))*187*Inputs!C29/100000 + (10*Inputs!C6*Inputs!C7*Inputs!C8*(1-Inputs!C9)*Inputs!C10/1000)*Inputs!C30*Inputs!C31/100000</f>
        <v>-68080.3254432</v>
      </c>
      <c r="F10" s="165" t="n">
        <f aca="false">((10*Inputs!C6*Inputs!C7*Inputs!C8*(1-Inputs!C9)*Inputs!C10/1000*Inputs!C13*(1-Inputs!C33))*187*Inputs!C29/100000 + (10*Inputs!C6*Inputs!C7*Inputs!C8*(1-Inputs!C9)*Inputs!C10/1000)*Inputs!C30*Inputs!C31/100000) - (OpEx!C15*10/Inputs!C5/100000)</f>
        <v>-68123.8705479552</v>
      </c>
      <c r="G10" s="166" t="n">
        <f aca="false">CapEx!C22*(MAX(10/Inputs!C5,1))/100000/MAX(((10*Inputs!C6*Inputs!C7*Inputs!C8*(1-Inputs!C9)*Inputs!C10/1000*Inputs!C13*(1-Inputs!C33))*187*Inputs!C29/100000 + (10*Inputs!C6*Inputs!C7*Inputs!C8*(1-Inputs!C9)*Inputs!C10/1000)*Inputs!C30*Inputs!C31/100000) - (OpEx!C15*10/Inputs!C5/100000),0.001)</f>
        <v>30674.90380768</v>
      </c>
    </row>
    <row r="12" customFormat="false" ht="19.5" hidden="false" customHeight="true" outlineLevel="0" collapsed="false">
      <c r="A12" s="21" t="s">
        <v>515</v>
      </c>
      <c r="B12" s="21"/>
      <c r="C12" s="21"/>
      <c r="D12" s="21"/>
      <c r="E12" s="21"/>
      <c r="F12" s="21"/>
      <c r="G12" s="21"/>
    </row>
    <row r="13" customFormat="false" ht="19.5" hidden="false" customHeight="true" outlineLevel="0" collapsed="false">
      <c r="A13" s="167" t="s">
        <v>516</v>
      </c>
      <c r="B13" s="167"/>
      <c r="C13" s="167"/>
      <c r="D13" s="167"/>
      <c r="E13" s="167"/>
      <c r="F13" s="167"/>
      <c r="G13" s="167"/>
    </row>
    <row r="14" customFormat="false" ht="19.5" hidden="false" customHeight="true" outlineLevel="0" collapsed="false">
      <c r="A14" s="168" t="s">
        <v>517</v>
      </c>
      <c r="B14" s="168"/>
      <c r="C14" s="168"/>
      <c r="D14" s="168"/>
      <c r="E14" s="168"/>
      <c r="F14" s="168"/>
      <c r="G14" s="168"/>
    </row>
    <row r="15" customFormat="false" ht="19.5" hidden="false" customHeight="true" outlineLevel="0" collapsed="false">
      <c r="A15" s="23" t="s">
        <v>518</v>
      </c>
      <c r="B15" s="23"/>
      <c r="C15" s="23"/>
      <c r="D15" s="23"/>
      <c r="E15" s="23"/>
      <c r="F15" s="23"/>
      <c r="G15" s="23"/>
    </row>
    <row r="16" customFormat="false" ht="19.5" hidden="false" customHeight="true" outlineLevel="0" collapsed="false">
      <c r="A16" s="30" t="s">
        <v>519</v>
      </c>
      <c r="B16" s="30"/>
      <c r="C16" s="30"/>
      <c r="D16" s="30"/>
      <c r="E16" s="30"/>
      <c r="F16" s="30"/>
      <c r="G16" s="30"/>
    </row>
    <row r="17" customFormat="false" ht="19.5" hidden="false" customHeight="true" outlineLevel="0" collapsed="false">
      <c r="A17" s="23" t="s">
        <v>520</v>
      </c>
      <c r="B17" s="23"/>
      <c r="C17" s="23"/>
      <c r="D17" s="23"/>
      <c r="E17" s="23"/>
      <c r="F17" s="23"/>
      <c r="G17" s="23"/>
    </row>
    <row r="18" customFormat="false" ht="19.5" hidden="false" customHeight="true" outlineLevel="0" collapsed="false">
      <c r="A18" s="30" t="s">
        <v>521</v>
      </c>
      <c r="B18" s="30"/>
      <c r="C18" s="30"/>
      <c r="D18" s="30"/>
      <c r="E18" s="30"/>
      <c r="F18" s="30"/>
      <c r="G18" s="30"/>
    </row>
    <row r="19" customFormat="false" ht="19.5" hidden="false" customHeight="true" outlineLevel="0" collapsed="false">
      <c r="A19" s="23" t="s">
        <v>522</v>
      </c>
      <c r="B19" s="23"/>
      <c r="C19" s="23"/>
      <c r="D19" s="23"/>
      <c r="E19" s="23"/>
      <c r="F19" s="23"/>
      <c r="G19" s="23"/>
    </row>
    <row r="20" customFormat="false" ht="19.5" hidden="false" customHeight="true" outlineLevel="0" collapsed="false">
      <c r="A20" s="30" t="s">
        <v>523</v>
      </c>
      <c r="B20" s="30"/>
      <c r="C20" s="30"/>
      <c r="D20" s="30"/>
      <c r="E20" s="30"/>
      <c r="F20" s="30"/>
      <c r="G20" s="30"/>
    </row>
  </sheetData>
  <mergeCells count="12">
    <mergeCell ref="A1:G1"/>
    <mergeCell ref="A2:G2"/>
    <mergeCell ref="A3:G3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2026-04-09T13:07:53Z</dcterms:created>
  <dc:creator>openpyxl</dc:creator>
  <dc:description/>
  <dc:language>en-US</dc:language>
  <cp:lastModifiedBy/>
  <dcterms:modified xsi:type="dcterms:W3CDTF">2026-04-09T20:11:31Z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