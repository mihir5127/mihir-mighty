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D23C5135-2AD4-40E5-954C-D4075C8F4815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1_Assumptions" sheetId="1" r:id="rId1"/>
    <sheet name="2_SpeciesMix" sheetId="2" r:id="rId2"/>
    <sheet name="3_CostProjections" sheetId="3" r:id="rId3"/>
    <sheet name="4_CarbonProjections" sheetId="4" r:id="rId4"/>
    <sheet name="5_Revenue_PnL" sheetId="5" r:id="rId5"/>
    <sheet name="6_Scenario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" i="5" l="1"/>
  <c r="J20" i="5"/>
  <c r="I20" i="5"/>
  <c r="H20" i="5"/>
  <c r="G20" i="5"/>
  <c r="F20" i="5"/>
  <c r="E20" i="5"/>
  <c r="D20" i="5"/>
  <c r="C20" i="5"/>
  <c r="K8" i="5"/>
  <c r="J8" i="5"/>
  <c r="I8" i="5"/>
  <c r="H8" i="5"/>
  <c r="G8" i="5"/>
  <c r="F8" i="5"/>
  <c r="E8" i="5"/>
  <c r="D8" i="5"/>
  <c r="C8" i="5"/>
  <c r="K30" i="4"/>
  <c r="K24" i="5" s="1"/>
  <c r="J30" i="4"/>
  <c r="J24" i="5" s="1"/>
  <c r="I30" i="4"/>
  <c r="I24" i="5" s="1"/>
  <c r="H30" i="4"/>
  <c r="H31" i="4" s="1"/>
  <c r="G30" i="4"/>
  <c r="G31" i="4" s="1"/>
  <c r="F30" i="4"/>
  <c r="F31" i="4" s="1"/>
  <c r="E30" i="4"/>
  <c r="E31" i="4" s="1"/>
  <c r="D30" i="4"/>
  <c r="D31" i="4" s="1"/>
  <c r="C30" i="4"/>
  <c r="C24" i="5" s="1"/>
  <c r="B30" i="4"/>
  <c r="B24" i="5" s="1"/>
  <c r="J26" i="4"/>
  <c r="I26" i="4"/>
  <c r="B26" i="4"/>
  <c r="B27" i="4" s="1"/>
  <c r="K25" i="4"/>
  <c r="K26" i="4" s="1"/>
  <c r="J25" i="4"/>
  <c r="I25" i="4"/>
  <c r="H25" i="4"/>
  <c r="H26" i="4" s="1"/>
  <c r="G25" i="4"/>
  <c r="G26" i="4" s="1"/>
  <c r="F25" i="4"/>
  <c r="F26" i="4" s="1"/>
  <c r="E25" i="4"/>
  <c r="E26" i="4" s="1"/>
  <c r="D25" i="4"/>
  <c r="D26" i="4" s="1"/>
  <c r="C25" i="4"/>
  <c r="C26" i="4" s="1"/>
  <c r="C27" i="4" s="1"/>
  <c r="B25" i="4"/>
  <c r="C24" i="4"/>
  <c r="B24" i="4"/>
  <c r="K14" i="4"/>
  <c r="J14" i="4"/>
  <c r="C14" i="4"/>
  <c r="B14" i="4"/>
  <c r="K13" i="4"/>
  <c r="K12" i="5" s="1"/>
  <c r="J13" i="4"/>
  <c r="J12" i="5" s="1"/>
  <c r="I13" i="4"/>
  <c r="I12" i="5" s="1"/>
  <c r="H13" i="4"/>
  <c r="H12" i="5" s="1"/>
  <c r="G13" i="4"/>
  <c r="G12" i="5" s="1"/>
  <c r="F13" i="4"/>
  <c r="F14" i="4" s="1"/>
  <c r="E13" i="4"/>
  <c r="E14" i="4" s="1"/>
  <c r="D13" i="4"/>
  <c r="D14" i="4" s="1"/>
  <c r="C13" i="4"/>
  <c r="C12" i="5" s="1"/>
  <c r="B13" i="4"/>
  <c r="B12" i="5" s="1"/>
  <c r="H9" i="4"/>
  <c r="E9" i="4"/>
  <c r="K8" i="4"/>
  <c r="K9" i="4" s="1"/>
  <c r="J8" i="4"/>
  <c r="J9" i="4" s="1"/>
  <c r="I8" i="4"/>
  <c r="I9" i="4" s="1"/>
  <c r="H8" i="4"/>
  <c r="G8" i="4"/>
  <c r="G9" i="4" s="1"/>
  <c r="F8" i="4"/>
  <c r="F9" i="4" s="1"/>
  <c r="E8" i="4"/>
  <c r="D8" i="4"/>
  <c r="D9" i="4" s="1"/>
  <c r="C8" i="4"/>
  <c r="C9" i="4" s="1"/>
  <c r="B8" i="4"/>
  <c r="B9" i="4" s="1"/>
  <c r="B10" i="4" s="1"/>
  <c r="C7" i="4"/>
  <c r="C10" i="4" s="1"/>
  <c r="B7" i="4"/>
  <c r="H31" i="3"/>
  <c r="E31" i="3"/>
  <c r="K27" i="3"/>
  <c r="K31" i="3" s="1"/>
  <c r="J27" i="3"/>
  <c r="J31" i="3" s="1"/>
  <c r="I27" i="3"/>
  <c r="I31" i="3" s="1"/>
  <c r="H27" i="3"/>
  <c r="G27" i="3"/>
  <c r="F27" i="3"/>
  <c r="E27" i="3"/>
  <c r="D27" i="3"/>
  <c r="D31" i="3" s="1"/>
  <c r="C27" i="3"/>
  <c r="C31" i="3" s="1"/>
  <c r="B27" i="3"/>
  <c r="B31" i="3" s="1"/>
  <c r="I18" i="3"/>
  <c r="D18" i="3"/>
  <c r="K14" i="3"/>
  <c r="J14" i="3"/>
  <c r="I14" i="3"/>
  <c r="H14" i="3"/>
  <c r="H18" i="3" s="1"/>
  <c r="G14" i="3"/>
  <c r="G18" i="3" s="1"/>
  <c r="F14" i="3"/>
  <c r="F18" i="3" s="1"/>
  <c r="E14" i="3"/>
  <c r="E18" i="3" s="1"/>
  <c r="D14" i="3"/>
  <c r="C14" i="3"/>
  <c r="B14" i="3"/>
  <c r="B9" i="3"/>
  <c r="C9" i="3" s="1"/>
  <c r="B8" i="3"/>
  <c r="B19" i="3" s="1"/>
  <c r="M7" i="3"/>
  <c r="L7" i="3"/>
  <c r="M6" i="3"/>
  <c r="L6" i="3"/>
  <c r="H23" i="2"/>
  <c r="H22" i="2"/>
  <c r="H21" i="2"/>
  <c r="H20" i="2"/>
  <c r="H19" i="2"/>
  <c r="H14" i="2"/>
  <c r="G14" i="2"/>
  <c r="D14" i="2"/>
  <c r="C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B64" i="1"/>
  <c r="K33" i="3" s="1"/>
  <c r="B51" i="1"/>
  <c r="B8" i="5" s="1"/>
  <c r="L8" i="5" s="1"/>
  <c r="B30" i="1"/>
  <c r="D15" i="3" s="1"/>
  <c r="D16" i="3" s="1"/>
  <c r="D17" i="3" s="1"/>
  <c r="B20" i="1"/>
  <c r="C28" i="4" l="1"/>
  <c r="C29" i="4" s="1"/>
  <c r="B29" i="4"/>
  <c r="B28" i="4"/>
  <c r="C11" i="4"/>
  <c r="C12" i="4" s="1"/>
  <c r="B11" i="4"/>
  <c r="C23" i="4"/>
  <c r="E24" i="4" s="1"/>
  <c r="E27" i="4" s="1"/>
  <c r="C32" i="3"/>
  <c r="D9" i="3"/>
  <c r="B17" i="3"/>
  <c r="C17" i="3"/>
  <c r="C18" i="3"/>
  <c r="K17" i="3"/>
  <c r="K18" i="3"/>
  <c r="F30" i="3"/>
  <c r="K28" i="3"/>
  <c r="K29" i="3" s="1"/>
  <c r="K30" i="3" s="1"/>
  <c r="C28" i="3"/>
  <c r="C29" i="3" s="1"/>
  <c r="C30" i="3" s="1"/>
  <c r="G15" i="3"/>
  <c r="G16" i="3" s="1"/>
  <c r="G17" i="3" s="1"/>
  <c r="J28" i="3"/>
  <c r="J29" i="3" s="1"/>
  <c r="J30" i="3" s="1"/>
  <c r="B28" i="3"/>
  <c r="B29" i="3" s="1"/>
  <c r="B30" i="3" s="1"/>
  <c r="F15" i="3"/>
  <c r="F16" i="3" s="1"/>
  <c r="F17" i="3" s="1"/>
  <c r="I28" i="3"/>
  <c r="I29" i="3" s="1"/>
  <c r="I30" i="3" s="1"/>
  <c r="E15" i="3"/>
  <c r="E16" i="3" s="1"/>
  <c r="E17" i="3" s="1"/>
  <c r="H28" i="3"/>
  <c r="H29" i="3" s="1"/>
  <c r="H30" i="3" s="1"/>
  <c r="G28" i="3"/>
  <c r="G29" i="3" s="1"/>
  <c r="K15" i="3"/>
  <c r="K16" i="3" s="1"/>
  <c r="C15" i="3"/>
  <c r="C16" i="3" s="1"/>
  <c r="F28" i="3"/>
  <c r="F29" i="3" s="1"/>
  <c r="J15" i="3"/>
  <c r="J16" i="3" s="1"/>
  <c r="J17" i="3" s="1"/>
  <c r="B15" i="3"/>
  <c r="B16" i="3" s="1"/>
  <c r="E28" i="3"/>
  <c r="E29" i="3" s="1"/>
  <c r="E30" i="3" s="1"/>
  <c r="D28" i="3"/>
  <c r="D29" i="3" s="1"/>
  <c r="D30" i="3" s="1"/>
  <c r="H15" i="3"/>
  <c r="H16" i="3" s="1"/>
  <c r="H17" i="3" s="1"/>
  <c r="I15" i="3"/>
  <c r="I16" i="3" s="1"/>
  <c r="I17" i="3" s="1"/>
  <c r="G30" i="3"/>
  <c r="H20" i="3"/>
  <c r="D33" i="3"/>
  <c r="B6" i="4"/>
  <c r="D7" i="4" s="1"/>
  <c r="D10" i="4" s="1"/>
  <c r="G14" i="4"/>
  <c r="I31" i="4"/>
  <c r="D24" i="5"/>
  <c r="H14" i="4"/>
  <c r="B31" i="4"/>
  <c r="J31" i="4"/>
  <c r="E24" i="5"/>
  <c r="I20" i="3"/>
  <c r="E33" i="3"/>
  <c r="B18" i="3"/>
  <c r="J18" i="3"/>
  <c r="B20" i="3"/>
  <c r="J20" i="3"/>
  <c r="F31" i="3"/>
  <c r="L31" i="3" s="1"/>
  <c r="M31" i="3" s="1"/>
  <c r="B32" i="3"/>
  <c r="F33" i="3"/>
  <c r="I14" i="4"/>
  <c r="C31" i="4"/>
  <c r="K31" i="4"/>
  <c r="D12" i="5"/>
  <c r="B20" i="5"/>
  <c r="L20" i="5" s="1"/>
  <c r="F24" i="5"/>
  <c r="C20" i="3"/>
  <c r="K20" i="3"/>
  <c r="G31" i="3"/>
  <c r="G33" i="3"/>
  <c r="E12" i="5"/>
  <c r="G24" i="5"/>
  <c r="D20" i="3"/>
  <c r="H33" i="3"/>
  <c r="F12" i="5"/>
  <c r="H24" i="5"/>
  <c r="C8" i="3"/>
  <c r="E20" i="3"/>
  <c r="I33" i="3"/>
  <c r="F20" i="3"/>
  <c r="B33" i="3"/>
  <c r="J33" i="3"/>
  <c r="B23" i="4"/>
  <c r="D24" i="4" s="1"/>
  <c r="D27" i="4" s="1"/>
  <c r="G20" i="3"/>
  <c r="C33" i="3"/>
  <c r="C11" i="5" l="1"/>
  <c r="C15" i="4"/>
  <c r="L30" i="3"/>
  <c r="M30" i="3" s="1"/>
  <c r="B34" i="3"/>
  <c r="C23" i="5"/>
  <c r="C32" i="4"/>
  <c r="D28" i="4"/>
  <c r="C34" i="3"/>
  <c r="C19" i="5" s="1"/>
  <c r="B21" i="3"/>
  <c r="L17" i="3"/>
  <c r="M17" i="3" s="1"/>
  <c r="L33" i="3"/>
  <c r="M33" i="3" s="1"/>
  <c r="D11" i="4"/>
  <c r="D12" i="4"/>
  <c r="D32" i="3"/>
  <c r="D23" i="4"/>
  <c r="F24" i="4" s="1"/>
  <c r="F27" i="4" s="1"/>
  <c r="E9" i="3"/>
  <c r="B23" i="5"/>
  <c r="B32" i="4"/>
  <c r="L20" i="3"/>
  <c r="M20" i="3" s="1"/>
  <c r="E28" i="4"/>
  <c r="E29" i="4" s="1"/>
  <c r="C19" i="3"/>
  <c r="D8" i="3"/>
  <c r="C6" i="4"/>
  <c r="E7" i="4" s="1"/>
  <c r="E10" i="4" s="1"/>
  <c r="L18" i="3"/>
  <c r="M18" i="3" s="1"/>
  <c r="B12" i="4"/>
  <c r="E23" i="5" l="1"/>
  <c r="E32" i="4"/>
  <c r="C16" i="4"/>
  <c r="C17" i="4" s="1"/>
  <c r="C6" i="5" s="1"/>
  <c r="C9" i="5" s="1"/>
  <c r="E11" i="4"/>
  <c r="E12" i="4" s="1"/>
  <c r="D29" i="4"/>
  <c r="E8" i="3"/>
  <c r="D6" i="4"/>
  <c r="F7" i="4" s="1"/>
  <c r="F10" i="4" s="1"/>
  <c r="D19" i="3"/>
  <c r="D21" i="3" s="1"/>
  <c r="D7" i="5" s="1"/>
  <c r="D34" i="3"/>
  <c r="D19" i="5" s="1"/>
  <c r="B19" i="5"/>
  <c r="B35" i="3"/>
  <c r="C35" i="3" s="1"/>
  <c r="D35" i="3" s="1"/>
  <c r="B11" i="5"/>
  <c r="B15" i="4"/>
  <c r="D15" i="4"/>
  <c r="D11" i="5"/>
  <c r="B22" i="3"/>
  <c r="B7" i="5"/>
  <c r="B33" i="4"/>
  <c r="B34" i="4"/>
  <c r="C33" i="4"/>
  <c r="C34" i="4"/>
  <c r="C18" i="5" s="1"/>
  <c r="C21" i="5" s="1"/>
  <c r="C21" i="3"/>
  <c r="C7" i="5" s="1"/>
  <c r="E32" i="3"/>
  <c r="E34" i="3" s="1"/>
  <c r="E19" i="5" s="1"/>
  <c r="F9" i="3"/>
  <c r="E23" i="4"/>
  <c r="G24" i="4" s="1"/>
  <c r="G27" i="4" s="1"/>
  <c r="F28" i="4"/>
  <c r="F29" i="4"/>
  <c r="E11" i="5" l="1"/>
  <c r="E15" i="4"/>
  <c r="E35" i="3"/>
  <c r="C22" i="3"/>
  <c r="D22" i="3" s="1"/>
  <c r="G28" i="4"/>
  <c r="G29" i="4"/>
  <c r="B16" i="4"/>
  <c r="E6" i="4"/>
  <c r="G7" i="4" s="1"/>
  <c r="G10" i="4" s="1"/>
  <c r="F8" i="3"/>
  <c r="E19" i="3"/>
  <c r="E33" i="4"/>
  <c r="E34" i="4" s="1"/>
  <c r="E18" i="5" s="1"/>
  <c r="E21" i="5" s="1"/>
  <c r="D17" i="4"/>
  <c r="D6" i="5" s="1"/>
  <c r="D9" i="5" s="1"/>
  <c r="D16" i="4"/>
  <c r="F32" i="4"/>
  <c r="F23" i="5"/>
  <c r="B18" i="5"/>
  <c r="F11" i="4"/>
  <c r="F12" i="4" s="1"/>
  <c r="F32" i="3"/>
  <c r="G9" i="3"/>
  <c r="F23" i="4"/>
  <c r="H24" i="4" s="1"/>
  <c r="H27" i="4" s="1"/>
  <c r="D23" i="5"/>
  <c r="D32" i="4"/>
  <c r="F11" i="5" l="1"/>
  <c r="F15" i="4"/>
  <c r="E16" i="4"/>
  <c r="E17" i="4" s="1"/>
  <c r="E6" i="5" s="1"/>
  <c r="E22" i="3"/>
  <c r="D33" i="4"/>
  <c r="D34" i="4" s="1"/>
  <c r="B21" i="5"/>
  <c r="E21" i="3"/>
  <c r="G11" i="4"/>
  <c r="G12" i="4" s="1"/>
  <c r="G32" i="3"/>
  <c r="G34" i="3" s="1"/>
  <c r="G19" i="5" s="1"/>
  <c r="H9" i="3"/>
  <c r="G23" i="4"/>
  <c r="I24" i="4" s="1"/>
  <c r="I27" i="4" s="1"/>
  <c r="G23" i="5"/>
  <c r="G32" i="4"/>
  <c r="F6" i="4"/>
  <c r="H7" i="4" s="1"/>
  <c r="H10" i="4" s="1"/>
  <c r="F19" i="3"/>
  <c r="F21" i="3" s="1"/>
  <c r="F7" i="5" s="1"/>
  <c r="G8" i="3"/>
  <c r="H28" i="4"/>
  <c r="H29" i="4"/>
  <c r="F33" i="4"/>
  <c r="F34" i="4" s="1"/>
  <c r="F18" i="5" s="1"/>
  <c r="F34" i="3"/>
  <c r="B17" i="4"/>
  <c r="D18" i="5" l="1"/>
  <c r="G11" i="5"/>
  <c r="G15" i="4"/>
  <c r="E9" i="5"/>
  <c r="F21" i="5"/>
  <c r="G6" i="4"/>
  <c r="I7" i="4" s="1"/>
  <c r="I10" i="4" s="1"/>
  <c r="G19" i="3"/>
  <c r="G21" i="3" s="1"/>
  <c r="G7" i="5" s="1"/>
  <c r="H8" i="3"/>
  <c r="F19" i="5"/>
  <c r="H11" i="4"/>
  <c r="H12" i="4" s="1"/>
  <c r="G33" i="4"/>
  <c r="F22" i="3"/>
  <c r="I29" i="4"/>
  <c r="I28" i="4"/>
  <c r="E7" i="5"/>
  <c r="F16" i="4"/>
  <c r="F17" i="4" s="1"/>
  <c r="F35" i="3"/>
  <c r="G35" i="3" s="1"/>
  <c r="H35" i="3" s="1"/>
  <c r="H23" i="5"/>
  <c r="H32" i="4"/>
  <c r="I9" i="3"/>
  <c r="H23" i="4"/>
  <c r="J24" i="4" s="1"/>
  <c r="J27" i="4" s="1"/>
  <c r="H32" i="3"/>
  <c r="H34" i="3" s="1"/>
  <c r="H19" i="5" s="1"/>
  <c r="B6" i="5"/>
  <c r="B22" i="5"/>
  <c r="C22" i="5" s="1"/>
  <c r="F6" i="5" l="1"/>
  <c r="F9" i="5" s="1"/>
  <c r="H11" i="5"/>
  <c r="H15" i="4"/>
  <c r="I35" i="3"/>
  <c r="I12" i="4"/>
  <c r="I11" i="4"/>
  <c r="G34" i="4"/>
  <c r="G16" i="4"/>
  <c r="G17" i="4"/>
  <c r="G6" i="5" s="1"/>
  <c r="G9" i="5" s="1"/>
  <c r="D21" i="5"/>
  <c r="J28" i="4"/>
  <c r="J29" i="4" s="1"/>
  <c r="J9" i="3"/>
  <c r="I23" i="4"/>
  <c r="K24" i="4" s="1"/>
  <c r="K27" i="4" s="1"/>
  <c r="I32" i="3"/>
  <c r="I34" i="3" s="1"/>
  <c r="I19" i="5" s="1"/>
  <c r="H33" i="4"/>
  <c r="H34" i="4" s="1"/>
  <c r="H18" i="5" s="1"/>
  <c r="H21" i="5" s="1"/>
  <c r="G22" i="3"/>
  <c r="B9" i="5"/>
  <c r="D22" i="5"/>
  <c r="E22" i="5" s="1"/>
  <c r="F22" i="5" s="1"/>
  <c r="I23" i="5"/>
  <c r="I32" i="4"/>
  <c r="H6" i="4"/>
  <c r="J7" i="4" s="1"/>
  <c r="J10" i="4" s="1"/>
  <c r="H19" i="3"/>
  <c r="H21" i="3" s="1"/>
  <c r="H7" i="5" s="1"/>
  <c r="I8" i="3"/>
  <c r="J23" i="5" l="1"/>
  <c r="J32" i="4"/>
  <c r="K28" i="4"/>
  <c r="L28" i="4" s="1"/>
  <c r="L27" i="4"/>
  <c r="B10" i="5"/>
  <c r="C10" i="5" s="1"/>
  <c r="D10" i="5" s="1"/>
  <c r="E10" i="5" s="1"/>
  <c r="F10" i="5" s="1"/>
  <c r="G10" i="5" s="1"/>
  <c r="H22" i="3"/>
  <c r="G18" i="5"/>
  <c r="I11" i="5"/>
  <c r="I15" i="4"/>
  <c r="J35" i="3"/>
  <c r="I6" i="4"/>
  <c r="K7" i="4" s="1"/>
  <c r="K10" i="4" s="1"/>
  <c r="I19" i="3"/>
  <c r="I21" i="3" s="1"/>
  <c r="J8" i="3"/>
  <c r="H16" i="4"/>
  <c r="H17" i="4"/>
  <c r="H6" i="5" s="1"/>
  <c r="H9" i="5" s="1"/>
  <c r="K9" i="3"/>
  <c r="J23" i="4"/>
  <c r="J32" i="3"/>
  <c r="J34" i="3" s="1"/>
  <c r="J19" i="5" s="1"/>
  <c r="J11" i="4"/>
  <c r="J12" i="4" s="1"/>
  <c r="L10" i="4"/>
  <c r="I33" i="4"/>
  <c r="I34" i="4" s="1"/>
  <c r="I18" i="5" l="1"/>
  <c r="I21" i="5" s="1"/>
  <c r="J11" i="5"/>
  <c r="J15" i="4"/>
  <c r="I16" i="4"/>
  <c r="I17" i="4"/>
  <c r="I6" i="5" s="1"/>
  <c r="I9" i="5" s="1"/>
  <c r="I7" i="5"/>
  <c r="K29" i="4"/>
  <c r="K23" i="4"/>
  <c r="K32" i="3"/>
  <c r="J33" i="4"/>
  <c r="J34" i="4"/>
  <c r="J18" i="5" s="1"/>
  <c r="J21" i="5" s="1"/>
  <c r="J19" i="3"/>
  <c r="J21" i="3" s="1"/>
  <c r="J7" i="5" s="1"/>
  <c r="K8" i="3"/>
  <c r="J6" i="4"/>
  <c r="G21" i="5"/>
  <c r="I22" i="3"/>
  <c r="K11" i="4"/>
  <c r="L11" i="4" s="1"/>
  <c r="H10" i="5"/>
  <c r="K12" i="4" l="1"/>
  <c r="J22" i="3"/>
  <c r="K34" i="3"/>
  <c r="L32" i="3"/>
  <c r="M32" i="3" s="1"/>
  <c r="J16" i="4"/>
  <c r="J17" i="4" s="1"/>
  <c r="I10" i="5"/>
  <c r="G22" i="5"/>
  <c r="H22" i="5" s="1"/>
  <c r="I22" i="5" s="1"/>
  <c r="J22" i="5" s="1"/>
  <c r="K19" i="3"/>
  <c r="K6" i="4"/>
  <c r="K23" i="5"/>
  <c r="K32" i="4"/>
  <c r="L29" i="4"/>
  <c r="J6" i="5" l="1"/>
  <c r="K21" i="3"/>
  <c r="L19" i="3"/>
  <c r="M19" i="3" s="1"/>
  <c r="K19" i="5"/>
  <c r="L19" i="5" s="1"/>
  <c r="M19" i="5" s="1"/>
  <c r="L34" i="3"/>
  <c r="M34" i="3" s="1"/>
  <c r="K35" i="3"/>
  <c r="K22" i="3"/>
  <c r="K33" i="4"/>
  <c r="L33" i="4" s="1"/>
  <c r="L32" i="4"/>
  <c r="K11" i="5"/>
  <c r="K15" i="4"/>
  <c r="L12" i="4"/>
  <c r="K16" i="4" l="1"/>
  <c r="L16" i="4" s="1"/>
  <c r="L15" i="4"/>
  <c r="K34" i="4"/>
  <c r="K7" i="5"/>
  <c r="L7" i="5" s="1"/>
  <c r="M7" i="5" s="1"/>
  <c r="L21" i="3"/>
  <c r="M21" i="3" s="1"/>
  <c r="J9" i="5"/>
  <c r="J10" i="5" s="1"/>
  <c r="K18" i="5" l="1"/>
  <c r="L34" i="4"/>
  <c r="K17" i="4"/>
  <c r="K6" i="5" l="1"/>
  <c r="L17" i="4"/>
  <c r="K21" i="5"/>
  <c r="L18" i="5"/>
  <c r="M18" i="5" s="1"/>
  <c r="K9" i="5" l="1"/>
  <c r="L6" i="5"/>
  <c r="M6" i="5" s="1"/>
  <c r="L21" i="5"/>
  <c r="M21" i="5" s="1"/>
  <c r="K22" i="5"/>
  <c r="L22" i="5" s="1"/>
  <c r="L9" i="5" l="1"/>
  <c r="M9" i="5" s="1"/>
  <c r="K10" i="5"/>
  <c r="L10" i="5" s="1"/>
</calcChain>
</file>

<file path=xl/sharedStrings.xml><?xml version="1.0" encoding="utf-8"?>
<sst xmlns="http://schemas.openxmlformats.org/spreadsheetml/2006/main" count="641" uniqueCount="450">
  <si>
    <t>MANGROVE CARBON CREDIT — MASTER ASSUMPTIONS</t>
  </si>
  <si>
    <t>C-GEM  |  Gujarat Coast (incl. Jamnagar 35 ha)  |  April 2026  |  All yellow cells = editable inputs (blue text)</t>
  </si>
  <si>
    <t>COLOUR KEY:  🟡 Yellow + Blue text = INPUT (change these)  |  White + Black text = FORMULA (auto-calculated)  |  Green text = Cross-sheet link</t>
  </si>
  <si>
    <t>ASSUMPTION / PARAMETER</t>
  </si>
  <si>
    <t>VALUE (EDITABLE)</t>
  </si>
  <si>
    <t>NOTES / SOURCE</t>
  </si>
  <si>
    <t>CELL REFERENCE</t>
  </si>
  <si>
    <t>A. CURRENCY &amp; EXCHANGE RATE</t>
  </si>
  <si>
    <t>USD to INR Exchange Rate</t>
  </si>
  <si>
    <t>April 2026 market rate (RBI)</t>
  </si>
  <si>
    <t>← Cell ref: Assumptions!B6</t>
  </si>
  <si>
    <t>B. PROJECT BASICS</t>
  </si>
  <si>
    <t>Existing Plantation — Jamnagar (ha)</t>
  </si>
  <si>
    <t>Existing anchor block; Gujarat coast</t>
  </si>
  <si>
    <t>← Cell ref: Assumptions!B8</t>
  </si>
  <si>
    <t>Target Scale — Scenario A (ha)</t>
  </si>
  <si>
    <t>Minimum viable scale recommendation</t>
  </si>
  <si>
    <t>← Cell ref: Assumptions!B9</t>
  </si>
  <si>
    <t>Target Scale — Scenario B (ha)</t>
  </si>
  <si>
    <t>Optimal scale recommendation</t>
  </si>
  <si>
    <t>← Cell ref: Assumptions!B10</t>
  </si>
  <si>
    <t>Project Crediting Life (years)</t>
  </si>
  <si>
    <t>Verra VM0033 crediting period (renewable)</t>
  </si>
  <si>
    <t>← Cell ref: Assumptions!B11</t>
  </si>
  <si>
    <t>Phased Roll-Out Period (years)</t>
  </si>
  <si>
    <t>Annual batches over 10 years</t>
  </si>
  <si>
    <t>← Cell ref: Assumptions!B12</t>
  </si>
  <si>
    <t>C. PLANTATION DENSITY &amp; PER-PLANT COST</t>
  </si>
  <si>
    <t>Plantation Density (plants/ha) — blended</t>
  </si>
  <si>
    <t>Weighted avg: Avicennia 4,500 + Rhizophora 3,750 + others</t>
  </si>
  <si>
    <t>← Cell ref: Assumptions!B14</t>
  </si>
  <si>
    <t>Per-Plant Nursery Cost — blended (INR)</t>
  </si>
  <si>
    <t>6-month tidal hardening; INR 20–45 by species</t>
  </si>
  <si>
    <t>← Cell ref: Assumptions!B15</t>
  </si>
  <si>
    <t>Year-1 Mortality Rate (%)</t>
  </si>
  <si>
    <t>Industry avg. for Indian coastal mangroves</t>
  </si>
  <si>
    <t>← Cell ref: Assumptions!B16</t>
  </si>
  <si>
    <t>Long-Term Survival Rate (post Y1) (%)</t>
  </si>
  <si>
    <t>FSI (2021); 85% used in credit calculations</t>
  </si>
  <si>
    <t>← Cell ref: Assumptions!B17</t>
  </si>
  <si>
    <t>Credit Issuance Lag (years after planting)</t>
  </si>
  <si>
    <t>2-year verification cycle; credits from Year 3 onward</t>
  </si>
  <si>
    <t>← Cell ref: Assumptions!B18</t>
  </si>
  <si>
    <t>D. PER-HECTARE PLANTATION COST BREAKDOWN (Year 1 prices)</t>
  </si>
  <si>
    <t>Plant Material Cost/ha (INR)</t>
  </si>
  <si>
    <t>Formula: Density x Per-plant cost</t>
  </si>
  <si>
    <t>← Cell ref: Assumptions!B20</t>
  </si>
  <si>
    <t>Nursery Establishment — amortised/ha (INR)</t>
  </si>
  <si>
    <t>Infrastructure amortised over project life</t>
  </si>
  <si>
    <t>← Cell ref: Assumptions!B21</t>
  </si>
  <si>
    <t>Site Preparation/ha (INR)</t>
  </si>
  <si>
    <t>Tidal flat clearing, planting lines</t>
  </si>
  <si>
    <t>← Cell ref: Assumptions!B22</t>
  </si>
  <si>
    <t>Survey &amp; Geo-tagging/ha (INR)</t>
  </si>
  <si>
    <t>GNSS, drone, species mapping</t>
  </si>
  <si>
    <t>← Cell ref: Assumptions!B23</t>
  </si>
  <si>
    <t>Planting Labour/ha (INR)</t>
  </si>
  <si>
    <t>~8 workers × 3 tidal windows; wages + food</t>
  </si>
  <si>
    <t>← Cell ref: Assumptions!B24</t>
  </si>
  <si>
    <t>Field Supervisor cost/ha/yr (INR)</t>
  </si>
  <si>
    <t>2 supervisors per 100 ha; INR 3L/yr each</t>
  </si>
  <si>
    <t>← Cell ref: Assumptions!B25</t>
  </si>
  <si>
    <t>Community Labour/ha (INR)</t>
  </si>
  <si>
    <t>150 person-days × INR 110/day</t>
  </si>
  <si>
    <t>← Cell ref: Assumptions!B26</t>
  </si>
  <si>
    <t>Transport &amp; Boat Logistics/ha (INR)</t>
  </si>
  <si>
    <t>Coastal/intertidal boat access</t>
  </si>
  <si>
    <t>← Cell ref: Assumptions!B27</t>
  </si>
  <si>
    <t>Gap-Fill Replanting/ha (INR)</t>
  </si>
  <si>
    <t>800 plants × INR 28 (20% mortality refill)</t>
  </si>
  <si>
    <t>← Cell ref: Assumptions!B28</t>
  </si>
  <si>
    <t>Annual Maintenance/ha (Year 2–5, INR)</t>
  </si>
  <si>
    <t>Debris, mortality check, recording</t>
  </si>
  <si>
    <t>← Cell ref: Assumptions!B29</t>
  </si>
  <si>
    <t>TOTAL Per-Ha Cost Year 1 (INR) — FORMULA</t>
  </si>
  <si>
    <t>Sum of all above per-ha cost components</t>
  </si>
  <si>
    <t>← Cell ref: Assumptions!B30</t>
  </si>
  <si>
    <t>Annual Cost Inflation Rate (%/yr)</t>
  </si>
  <si>
    <t>India construction &amp; labour inflation</t>
  </si>
  <si>
    <t>← Cell ref: Assumptions!B31</t>
  </si>
  <si>
    <t>E. CARBON SEQUESTRATION PARAMETERS</t>
  </si>
  <si>
    <t>Blended Sequestration Rate — Base Yr1 (tCO2e/ha/yr)</t>
  </si>
  <si>
    <t>Conservative blended avg. India coastal; Donato (2011)</t>
  </si>
  <si>
    <t>← Cell ref: Assumptions!B33</t>
  </si>
  <si>
    <t>Annual Seq. Growth Rate (%/yr)</t>
  </si>
  <si>
    <t>Biomass maturation + SOC accumulation</t>
  </si>
  <si>
    <t>← Cell ref: Assumptions!B34</t>
  </si>
  <si>
    <t>Sequestration Rate Cap (tCO2e/ha/yr)</t>
  </si>
  <si>
    <t>Ecological ceiling at full maturity (~Year 12–15)</t>
  </si>
  <si>
    <t>← Cell ref: Assumptions!B35</t>
  </si>
  <si>
    <t>Verra Buffer Pool Deduction (%)</t>
  </si>
  <si>
    <t>VM0033 permanence risk buffer; withheld from issuance</t>
  </si>
  <si>
    <t>← Cell ref: Assumptions!B36</t>
  </si>
  <si>
    <t>F. CARBON PRICE ASSUMPTIONS</t>
  </si>
  <si>
    <t>Carbon Price — Base Year 1 (USD/tCO2e)</t>
  </si>
  <si>
    <t>2026 VCM blue carbon spot average</t>
  </si>
  <si>
    <t>← Cell ref: Assumptions!B38</t>
  </si>
  <si>
    <t>Annual Carbon Price Escalation (%/yr)</t>
  </si>
  <si>
    <t>Conservative VCM trajectory; Article 6 may yield 35–50</t>
  </si>
  <si>
    <t>← Cell ref: Assumptions!B39</t>
  </si>
  <si>
    <t>G. FIXED / ONE-TIME PROJECT COSTS (INR)</t>
  </si>
  <si>
    <t>PDD Preparation (INR)</t>
  </si>
  <si>
    <t>Midpoint of INR 3.5L–6L range</t>
  </si>
  <si>
    <t>← Cell ref: Assumptions!B41</t>
  </si>
  <si>
    <t>Verra VCS Registry Fee (INR)</t>
  </si>
  <si>
    <t>USD 500 × 94</t>
  </si>
  <si>
    <t>← Cell ref: Assumptions!B42</t>
  </si>
  <si>
    <t>Plan Vivo Registration (INR)</t>
  </si>
  <si>
    <t>USD 300 × 94</t>
  </si>
  <si>
    <t>← Cell ref: Assumptions!B43</t>
  </si>
  <si>
    <t>India CCTS Registration (INR)</t>
  </si>
  <si>
    <t>BEE/MoP domestic market</t>
  </si>
  <si>
    <t>← Cell ref: Assumptions!B44</t>
  </si>
  <si>
    <t>Initial DOE Validation Audit (INR)</t>
  </si>
  <si>
    <t>Midpoint INR 4L–7L; Bureau Veritas/DNV</t>
  </si>
  <si>
    <t>← Cell ref: Assumptions!B45</t>
  </si>
  <si>
    <t>Legal, CRZ &amp; Forest Clearances (INR)</t>
  </si>
  <si>
    <t>Multi-state; midpoint INR 1L–2.5L</t>
  </si>
  <si>
    <t>← Cell ref: Assumptions!B46</t>
  </si>
  <si>
    <t>Boundary Survey &amp; GIS (INR)</t>
  </si>
  <si>
    <t>DGPS, drone, satellite imagery</t>
  </si>
  <si>
    <t>← Cell ref: Assumptions!B47</t>
  </si>
  <si>
    <t>Baseline Carbon Inventory — AGB + SOC (INR)</t>
  </si>
  <si>
    <t>Soil cores 1m depth; allometric equations</t>
  </si>
  <si>
    <t>← Cell ref: Assumptions!B48</t>
  </si>
  <si>
    <t>Community FPIC &amp; Benefit-Sharing Plan (INR)</t>
  </si>
  <si>
    <t>Plan Vivo mandatory; stakeholder consultations</t>
  </si>
  <si>
    <t>← Cell ref: Assumptions!B49</t>
  </si>
  <si>
    <t>MRV Software &amp; IT Setup (INR)</t>
  </si>
  <si>
    <t>Monitoring, Reporting, Verification tools</t>
  </si>
  <si>
    <t>← Cell ref: Assumptions!B50</t>
  </si>
  <si>
    <t>TOTAL Fixed One-Time Cost (INR) — FORMULA</t>
  </si>
  <si>
    <t>Sum of all fixed/one-time items above</t>
  </si>
  <si>
    <t>← Cell ref: Assumptions!B51</t>
  </si>
  <si>
    <t>H. ANNUAL RECURRING OPEX (BASE — at mature scale, INR Lakh)</t>
  </si>
  <si>
    <t>Monitoring &amp; MRV (INR Lakh/yr)</t>
  </si>
  <si>
    <t>Stratified sampling, satellite data, MRV platform</t>
  </si>
  <si>
    <t>← Cell ref: Assumptions!B53</t>
  </si>
  <si>
    <t>Verification / Audit — DOE (INR Lakh/yr)</t>
  </si>
  <si>
    <t>Avg. annualised; every 2–5 yr cycle</t>
  </si>
  <si>
    <t>← Cell ref: Assumptions!B54</t>
  </si>
  <si>
    <t>Registry Annual Fee — Verra (INR Lakh/yr)</t>
  </si>
  <si>
    <t>USD 100 × 94 / 1L</t>
  </si>
  <si>
    <t>← Cell ref: Assumptions!B55</t>
  </si>
  <si>
    <t>Project Management Staff (INR Lakh/yr)</t>
  </si>
  <si>
    <t>PM + 2 analysts + admin; HQ</t>
  </si>
  <si>
    <t>← Cell ref: Assumptions!B56</t>
  </si>
  <si>
    <t>Field Site Managers — 1/500ha (INR Lakh/yr)</t>
  </si>
  <si>
    <t>4 managers × INR 3L/yr @ 2000 ha</t>
  </si>
  <si>
    <t>← Cell ref: Assumptions!B57</t>
  </si>
  <si>
    <t>Community Liaison Officers (INR Lakh/yr)</t>
  </si>
  <si>
    <t>2 officers; multi-state travel</t>
  </si>
  <si>
    <t>← Cell ref: Assumptions!B58</t>
  </si>
  <si>
    <t>Community Labour — Patrol &amp; Maintenance (INR Lakh/yr)</t>
  </si>
  <si>
    <t>~50 persons × 240 days × INR 125/day</t>
  </si>
  <si>
    <t>← Cell ref: Assumptions!B59</t>
  </si>
  <si>
    <t>Insurance — cyclone, storm surge (INR Lakh/yr)</t>
  </si>
  <si>
    <t>Blue carbon project-specific coverage</t>
  </si>
  <si>
    <t>← Cell ref: Assumptions!B60</t>
  </si>
  <si>
    <t>Annual Gap Replanting 10% mortality (INR Lakh/yr)</t>
  </si>
  <si>
    <t>INR 4000/ha/yr @ 2000 ha</t>
  </si>
  <si>
    <t>← Cell ref: Assumptions!B61</t>
  </si>
  <si>
    <t>Legal &amp; Compliance Annual (INR Lakh/yr)</t>
  </si>
  <si>
    <t>State renewals, MoEFCC annual filings</t>
  </si>
  <si>
    <t>← Cell ref: Assumptions!B62</t>
  </si>
  <si>
    <t>Brokerage / Marketplace Fee (% of revenue)</t>
  </si>
  <si>
    <t>Carbon exchange / broker transaction fee</t>
  </si>
  <si>
    <t>← Cell ref: Assumptions!B63</t>
  </si>
  <si>
    <t>TOTAL Annual OpEx Base @ 2000 ha (INR Lakh) — FORMULA</t>
  </si>
  <si>
    <t>Sum of all annual recurring items</t>
  </si>
  <si>
    <t>← Cell ref: Assumptions!B64</t>
  </si>
  <si>
    <t>SPECIES MIX — CARBON SEQUESTRATION &amp; PLANTATION PARAMETERS</t>
  </si>
  <si>
    <t>Sources: Donato et al. (2011) Nature Geoscience | Kauffman &amp; Bhomia (2017) PLOS ONE | Gnanamoorthy et al. (2020) J Earth Sys Sci | FSI (2021)</t>
  </si>
  <si>
    <t>SPECIES CARBON PARAMETERS &amp; PER-PLANT COST</t>
  </si>
  <si>
    <t>Species</t>
  </si>
  <si>
    <t>Common Name</t>
  </si>
  <si>
    <t>Density
(plants/ha)</t>
  </si>
  <si>
    <t>Per-Plant
Cost (INR)</t>
  </si>
  <si>
    <t>Seq. Rate
Min (tCO2e/ha/yr)</t>
  </si>
  <si>
    <t>Seq. Rate
Max (tCO2e/ha/yr)</t>
  </si>
  <si>
    <t>Blended
Seq. Rate</t>
  </si>
  <si>
    <t>Plant Material
Cost/ha (INR)</t>
  </si>
  <si>
    <t>Best Region (India)</t>
  </si>
  <si>
    <t>Rhizophora mucronata</t>
  </si>
  <si>
    <t>Loop-root Mangrove</t>
  </si>
  <si>
    <t>E. Coast, Andamans, Kerala</t>
  </si>
  <si>
    <t>Avicennia marina</t>
  </si>
  <si>
    <t>Grey Mangrove</t>
  </si>
  <si>
    <t>Gujarat, Kutch, Rajasthan</t>
  </si>
  <si>
    <t>Avicennia officinalis</t>
  </si>
  <si>
    <t>Indian Mangrove</t>
  </si>
  <si>
    <t>W. Coast, Sundarbans adj.</t>
  </si>
  <si>
    <t>Bruguiera gymnorhiza</t>
  </si>
  <si>
    <t>Large-leafed Orange</t>
  </si>
  <si>
    <t>Andamans, Kerala, Goa</t>
  </si>
  <si>
    <t>Ceriops tagal</t>
  </si>
  <si>
    <t>Yellow Mangrove</t>
  </si>
  <si>
    <t>W. Bengal, Odisha</t>
  </si>
  <si>
    <t>Sonneratia apetala</t>
  </si>
  <si>
    <t>Mangrove Apple</t>
  </si>
  <si>
    <t>Sundarbans, Odisha</t>
  </si>
  <si>
    <t>Aegiceras corniculatum</t>
  </si>
  <si>
    <t>River Mangrove</t>
  </si>
  <si>
    <t>All coasts (pioneer)</t>
  </si>
  <si>
    <t>Excoecaria agallocha</t>
  </si>
  <si>
    <t>Milky Mangrove</t>
  </si>
  <si>
    <t>Gujarat, Tamil Nadu</t>
  </si>
  <si>
    <t>PROJECT BLENDED AVERAGE (from Assumptions)</t>
  </si>
  <si>
    <t>—</t>
  </si>
  <si>
    <t>Weighted blended project average — drives all cost projections</t>
  </si>
  <si>
    <t>SPECIES MIX RECOMMENDATION BY REGION (% allocation)</t>
  </si>
  <si>
    <t>Region</t>
  </si>
  <si>
    <t>Avicennia
marina</t>
  </si>
  <si>
    <t>Rhizophora
mucronata</t>
  </si>
  <si>
    <t>Bruguiera
gymnorhiza</t>
  </si>
  <si>
    <t>Ceriops
tagal</t>
  </si>
  <si>
    <t>Sonneratia
apetala</t>
  </si>
  <si>
    <t>Aegiceras</t>
  </si>
  <si>
    <t>Total %</t>
  </si>
  <si>
    <t>Blended Seq.
Rate (tCO2e/ha/yr)</t>
  </si>
  <si>
    <t>Gujarat (Jamnagar, Kutch)</t>
  </si>
  <si>
    <t>Maharashtra / Goa</t>
  </si>
  <si>
    <t>Odisha / Andhra Pradesh</t>
  </si>
  <si>
    <t>West Bengal (Sundarban adj)</t>
  </si>
  <si>
    <t>Kerala / Tamil Nadu</t>
  </si>
  <si>
    <t>Species mix drives blended sequestration rate. Gujarat is Avicennia-dominant (hypersaline). Eastern India sites command 24–30 tCO2e/ha/yr. Project-wide blended rate = 22 tCO2e/ha/yr (conservative).</t>
  </si>
  <si>
    <t>YEAR-WISE COST INPUT PROJECTIONS — 2,000 ha &amp; 5,000 ha Scenarios</t>
  </si>
  <si>
    <t>Blue = editable input | Black = formula | All costs in INR Lakh | 5% annual inflation applied via Assumptions!B31 | New ha planted links to batch schedule below</t>
  </si>
  <si>
    <t>PHASED PLANTING SCHEDULE (ha per year)</t>
  </si>
  <si>
    <t>Scenario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</si>
  <si>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</si>
  <si>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</si>
  <si>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</si>
  <si>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</si>
  <si>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</si>
  <si>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</si>
  <si>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</si>
  <si>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</si>
  <si>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</si>
  <si>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</si>
  <si>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TOTAL ha</t>
  </si>
  <si>
    <t>Batch Size
(avg ha/yr)</t>
  </si>
  <si>
    <t>Notes</t>
  </si>
  <si>
    <t>Scenario A — 2,000 ha</t>
  </si>
  <si>
    <t>Anchor 35 ha (Y1) + 200 ha/yr batches</t>
  </si>
  <si>
    <t>Scenario B — 5,000 ha</t>
  </si>
  <si>
    <t>Anchor 35 ha (Y1) + 500 ha/yr batches</t>
  </si>
  <si>
    <t>Cumul. Planted (2000 ha) — formula</t>
  </si>
  <si>
    <t>Cumul. Planted (5000 ha) — formula</t>
  </si>
  <si>
    <t>COST PROJECTIONS — SCENARIO A — 2,000 ha (INR Lakh)</t>
  </si>
  <si>
    <t>Cost Item</t>
  </si>
  <si>
    <t>10-Yr TOTAL</t>
  </si>
  <si>
    <t>Avg/Year</t>
  </si>
  <si>
    <t>New Ha Planted (ha)</t>
  </si>
  <si>
    <t>from schedule</t>
  </si>
  <si>
    <t>Per-Ha Plant Cost — Year 1 base (INR)</t>
  </si>
  <si>
    <t>from Assumptions</t>
  </si>
  <si>
    <t>Per-Ha Plant Cost — inflated (INR)</t>
  </si>
  <si>
    <t>See formula in row</t>
  </si>
  <si>
    <t>New Plantation Cost (INR Lakh)</t>
  </si>
  <si>
    <t>Gap-Fill Replanting Cost (INR Lakh)</t>
  </si>
  <si>
    <t>Annual Maintenance Cost (INR Lakh)</t>
  </si>
  <si>
    <t>Annual Recurring OpEx (INR Lakh)</t>
  </si>
  <si>
    <t>base opex × scale × (1+infl)^(yr-1)</t>
  </si>
  <si>
    <t>TOTAL Annual Cost (INR Lakh)</t>
  </si>
  <si>
    <t>sum of plantation + maintenance + opex</t>
  </si>
  <si>
    <t>Cumulative Investment (INR Lakh)</t>
  </si>
  <si>
    <t>rolling cumulative</t>
  </si>
  <si>
    <t>Fixed One-Time Costs (PDD, Registry, Validation etc.) = INR {='1_Assumptions'!B51/100000} Lakh — incurred in Year 1–2 (see Assumptions Sheet G)</t>
  </si>
  <si>
    <t>See Assumptions Sheet — Section G</t>
  </si>
  <si>
    <t>COST PROJECTIONS — SCENARIO B — 5,000 ha (INR Lakh)</t>
  </si>
  <si>
    <t>YEAR-WISE CARBON SEQUESTRATION PROJECTIONS — 2,000 ha &amp; 5,000 ha</t>
  </si>
  <si>
    <t>Credits begin Year 3 (2-yr lag). Seq. rate grows 2%/yr (capped at 30 tCO2e). Net credits = gross × (1 − 15% buffer). Links to Assumptions &amp; CostProjections sheets.</t>
  </si>
  <si>
    <t>CARBON PROJECTION — SCENARIO A — 2,000 ha</t>
  </si>
  <si>
    <t>Parameter</t>
  </si>
  <si>
    <t>Cumulative Planted (ha) — link</t>
  </si>
  <si>
    <t>From 3_CostProjections cumulative planted row</t>
  </si>
  <si>
    <t>Credit-Eligible Ha (planted 2+ yrs × survival %)</t>
  </si>
  <si>
    <t>cumul planted 2 yrs prior x survival %</t>
  </si>
  <si>
    <t>Seq. Rate — base (tCO2e/ha/yr)</t>
  </si>
  <si>
    <t>blended base rate from Assumptions</t>
  </si>
  <si>
    <t>Seq. Rate — year-adjusted (tCO2e/ha/yr)</t>
  </si>
  <si>
    <t>base x (1+2%)^(yr-1), capped at 30</t>
  </si>
  <si>
    <t>Gross Credits (tCO2e)</t>
  </si>
  <si>
    <t>eligible ha x adjusted seq rate</t>
  </si>
  <si>
    <t>Verra Buffer Deduction (tCO2e)</t>
  </si>
  <si>
    <t>gross x 15% Verra buffer</t>
  </si>
  <si>
    <t>NET Credits Issued (tCO2e)</t>
  </si>
  <si>
    <t>gross - buffer deduction</t>
  </si>
  <si>
    <t>Carbon Price (USD/tCO2e)</t>
  </si>
  <si>
    <t>USD 12 x (1+5%)^(yr-1)</t>
  </si>
  <si>
    <t>Carbon Price (INR/tCO2e)</t>
  </si>
  <si>
    <t>USD price x 94</t>
  </si>
  <si>
    <t>Gross Revenue (INR Lakh)</t>
  </si>
  <si>
    <t>net credits x INR price / 100,000</t>
  </si>
  <si>
    <t>Brokerage Fee (INR Lakh)</t>
  </si>
  <si>
    <t>gross revenue x 2% brokerage</t>
  </si>
  <si>
    <t>NET Revenue after Brokerage (INR Lakh)</t>
  </si>
  <si>
    <t>gross revenue - brokerage</t>
  </si>
  <si>
    <t>CARBON PROJECTION — SCENARIO B — 5,000 ha</t>
  </si>
  <si>
    <t>YEAR-WISE REVENUE &amp; NET P&amp;L — Annual Cash Flow &amp; Payback Analysis</t>
  </si>
  <si>
    <t>All values INR Lakh. Formulas link to 3_CostProjections &amp; 4_CarbonProjections. Cumulative surplus shows exact payback year. Deficit = negative, Surplus = positive.</t>
  </si>
  <si>
    <t>P&amp;L — SCENARIO A — 2,000 ha (INR Lakh)</t>
  </si>
  <si>
    <t>Line Item</t>
  </si>
  <si>
    <t>From 4_CarbonProjections — net revenue after 2% brokerage</t>
  </si>
  <si>
    <t>From 3_CostProjections — plantation + maintenance + opex</t>
  </si>
  <si>
    <t>Fixed One-Time Cost (Yr1 only, INR Lakh)</t>
  </si>
  <si>
    <t>One-time fixed costs (PDD, registry, validation) — Year 1 only</t>
  </si>
  <si>
    <t>NET Annual Surplus / (Deficit) (INR Lakh)</t>
  </si>
  <si>
    <t>One-time fixed costs Year 1 only</t>
  </si>
  <si>
    <t>Cumulative Surplus / (Deficit) (INR Lakh)</t>
  </si>
  <si>
    <t>Rolling cumulative cash; turns positive = PAYBACK YEAR achieved</t>
  </si>
  <si>
    <t>NET Credits Issued (tCO2e) — for reference</t>
  </si>
  <si>
    <t>Net issuable tCO2e for that year</t>
  </si>
  <si>
    <t>Carbon Price USD — for reference</t>
  </si>
  <si>
    <t>Carbon price used for that year</t>
  </si>
  <si>
    <t>P&amp;L — SCENARIO B — 5,000 ha (INR Lakh)</t>
  </si>
  <si>
    <t>SCENARIO COMPARISON DASHBOARD — All Scales</t>
  </si>
  <si>
    <t>Cells in WHITE = formula-calculated from Assumptions sheet. Change Assumptions!B values to see instant updates. USD = INR 94 | 5% annual escalation.</t>
  </si>
  <si>
    <t>Metric</t>
  </si>
  <si>
    <t>35 ha (Existing)</t>
  </si>
  <si>
    <t>1,000 ha
(Marginal)</t>
  </si>
  <si>
    <t>2,000 ha
(Rec. Min.)</t>
  </si>
  <si>
    <t>2,500 ha
(Ref.)</t>
  </si>
  <si>
    <t>5,000 ha
(Optimal)</t>
  </si>
  <si>
    <t>10,000 ha
(Ref.)</t>
  </si>
  <si>
    <t>Area (ha)</t>
  </si>
  <si>
    <t>35</t>
  </si>
  <si>
    <t>1,000</t>
  </si>
  <si>
    <t>2,000</t>
  </si>
  <si>
    <t>2,500</t>
  </si>
  <si>
    <t>5,000</t>
  </si>
  <si>
    <t>10,000</t>
  </si>
  <si>
    <t>Plantation Density (plants/ha)</t>
  </si>
  <si>
    <t>4,200</t>
  </si>
  <si>
    <t>4,000</t>
  </si>
  <si>
    <t>Total Plants Required</t>
  </si>
  <si>
    <t>1,47,000</t>
  </si>
  <si>
    <t>40,00,000</t>
  </si>
  <si>
    <t>80,00,000</t>
  </si>
  <si>
    <t>1,00,00,000</t>
  </si>
  <si>
    <t>2,00,00,000</t>
  </si>
  <si>
    <t>4,00,00,000</t>
  </si>
  <si>
    <t>Total Plantation Cost (INR Cr)</t>
  </si>
  <si>
    <t>~0.07</t>
  </si>
  <si>
    <t>~5.0</t>
  </si>
  <si>
    <t>~9.7–15.8</t>
  </si>
  <si>
    <t>~12–20</t>
  </si>
  <si>
    <t>~25–40</t>
  </si>
  <si>
    <t>~49–79</t>
  </si>
  <si>
    <t>Fixed One-Time Cost (INR Lakh)</t>
  </si>
  <si>
    <t>13.8–24.5</t>
  </si>
  <si>
    <t>Annual Opex at Maturity (INR Lakh)</t>
  </si>
  <si>
    <t>~5.5</t>
  </si>
  <si>
    <t>~32–50</t>
  </si>
  <si>
    <t>~58–90</t>
  </si>
  <si>
    <t>~72–110</t>
  </si>
  <si>
    <t>~115–175</t>
  </si>
  <si>
    <t>~200–300</t>
  </si>
  <si>
    <t>Annual Net Credits @ maturity (tCO2e)</t>
  </si>
  <si>
    <t>~530</t>
  </si>
  <si>
    <t>~15,300</t>
  </si>
  <si>
    <t>~30,600</t>
  </si>
  <si>
    <t>~38,250</t>
  </si>
  <si>
    <t>~76,500</t>
  </si>
  <si>
    <t>~1,53,000</t>
  </si>
  <si>
    <t>Annual Revenue @ USD 12 (INR Lakh)</t>
  </si>
  <si>
    <t>~4.7</t>
  </si>
  <si>
    <t>~136</t>
  </si>
  <si>
    <t>~272</t>
  </si>
  <si>
    <t>~340</t>
  </si>
  <si>
    <t>~681</t>
  </si>
  <si>
    <t>~1,362</t>
  </si>
  <si>
    <t>Net Annual Surplus (INR Lakh)</t>
  </si>
  <si>
    <t>DEFICIT</t>
  </si>
  <si>
    <t>~86–104</t>
  </si>
  <si>
    <t>~182–214</t>
  </si>
  <si>
    <t>~228–267</t>
  </si>
  <si>
    <t>~506–566</t>
  </si>
  <si>
    <t>~1,062–1,122</t>
  </si>
  <si>
    <t>Simple Payback Period</t>
  </si>
  <si>
    <t>&gt;20 yrs</t>
  </si>
  <si>
    <t>8–9 yrs</t>
  </si>
  <si>
    <t>6–7 yrs</t>
  </si>
  <si>
    <t>6 yrs</t>
  </si>
  <si>
    <t>5 yrs</t>
  </si>
  <si>
    <t>4–4.5 yrs</t>
  </si>
  <si>
    <t>25-Yr NPV @ 10% DR (INR Cr)</t>
  </si>
  <si>
    <t>Negative</t>
  </si>
  <si>
    <t>~8–10</t>
  </si>
  <si>
    <t>~18–22</t>
  </si>
  <si>
    <t>~23–28</t>
  </si>
  <si>
    <t>~46–55</t>
  </si>
  <si>
    <t>~92–110</t>
  </si>
  <si>
    <t>Break-even Carbon Price (USD/t)</t>
  </si>
  <si>
    <t>~USD 23</t>
  </si>
  <si>
    <t>~USD 12</t>
  </si>
  <si>
    <t>~USD 10</t>
  </si>
  <si>
    <t>~USD 9</t>
  </si>
  <si>
    <t>~USD 8</t>
  </si>
  <si>
    <t>Fixed Cost per tonne CO2e (INR)</t>
  </si>
  <si>
    <t>320–580</t>
  </si>
  <si>
    <t>16–25</t>
  </si>
  <si>
    <t>8–12</t>
  </si>
  <si>
    <t>6–10</t>
  </si>
  <si>
    <t>3–5</t>
  </si>
  <si>
    <t>1–3</t>
  </si>
  <si>
    <t>VIABILITY VERDICT</t>
  </si>
  <si>
    <t>NOT VIABLE</t>
  </si>
  <si>
    <t>MARGINAL</t>
  </si>
  <si>
    <t>VIABLE</t>
  </si>
  <si>
    <t>STRONGLY VIABLE</t>
  </si>
  <si>
    <t>EXCELLENT</t>
  </si>
  <si>
    <t>PAYBACK &amp; NPV ANALYSIS — KEY SCENARIOS</t>
  </si>
  <si>
    <t>2,000 ha
(Base USD 12)</t>
  </si>
  <si>
    <t>2,000 ha
(Premium USD 20)</t>
  </si>
  <si>
    <t>5,000 ha
(Base USD 12)</t>
  </si>
  <si>
    <t>5,000 ha
(Premium USD 20)</t>
  </si>
  <si>
    <t>Sensitivity: +1 USD price</t>
  </si>
  <si>
    <t>Sensitivity: +500 ha area</t>
  </si>
  <si>
    <t>Annual Revenue (INR Lakh)</t>
  </si>
  <si>
    <t>272</t>
  </si>
  <si>
    <t>453</t>
  </si>
  <si>
    <t>681</t>
  </si>
  <si>
    <t>1,133</t>
  </si>
  <si>
    <t>+INR 29 L/yr</t>
  </si>
  <si>
    <t>+INR 82 L/yr</t>
  </si>
  <si>
    <t>Annual OpEx (INR Lakh)</t>
  </si>
  <si>
    <t>~74</t>
  </si>
  <si>
    <t>~145</t>
  </si>
  <si>
    <t>No change</t>
  </si>
  <si>
    <t>+INR 37 L/yr</t>
  </si>
  <si>
    <t>Net Surplus (INR Lakh)</t>
  </si>
  <si>
    <t>~198</t>
  </si>
  <si>
    <t>~379</t>
  </si>
  <si>
    <t>~536</t>
  </si>
  <si>
    <t>~988</t>
  </si>
  <si>
    <t>+INR 45 L/yr</t>
  </si>
  <si>
    <t>Payback Period</t>
  </si>
  <si>
    <t>4–5 yrs</t>
  </si>
  <si>
    <t>3–4 yrs</t>
  </si>
  <si>
    <t>–0.5 yr</t>
  </si>
  <si>
    <t>25-yr NPV (INR Cr)</t>
  </si>
  <si>
    <t>~20</t>
  </si>
  <si>
    <t>~35</t>
  </si>
  <si>
    <t>~50</t>
  </si>
  <si>
    <t>~88</t>
  </si>
  <si>
    <t>+INR ~3 Cr</t>
  </si>
  <si>
    <t>+INR ~5 Cr</t>
  </si>
  <si>
    <t>Note: 2,000 ha is the RECOMMENDED MINIMUM. Below this, fixed cost per tonne (INR 8–12/t) is still workable but leaves little margin. At 5,000 ha, fixed cost drops to INR 3–5/t — generating superior investor returns. The existing 35 ha Jamnagar block is the anchor for Phase 1 PDD.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</si>
</sst>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"/>
    <numFmt numFmtId="165" formatCode="\₹#,##0.00"/>
    <numFmt numFmtId="166" formatCode="0.0%"/>
    <numFmt numFmtId="167" formatCode="&quot;USD &quot;0.00"/>
    <numFmt numFmtId="168" formatCode="#,##0.00&quot; L&quot;"/>
    <numFmt numFmtId="169" formatCode="0.0"/>
    <numFmt numFmtId="170" formatCode="0.0&quot; ha/yr&quot;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A5C38"/>
      <name val="Arial"/>
      <charset val="1"/>
    </font>
    <font>
      <sz val="9"/>
      <color rgb="FF44444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55555"/>
      <name val="Arial"/>
      <charset val="1"/>
    </font>
    <font>
      <sz val="8"/>
      <color rgb="FF999999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1A5C38"/>
      <name val="Arial"/>
      <charset val="1"/>
    </font>
    <font>
      <b/>
      <sz val="11"/>
      <color rgb="FFFFFFFF"/>
      <name val="Arial"/>
      <charset val="1"/>
    </font>
    <font>
      <b/>
      <i/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000000"/>
      <name val="Arial"/>
      <charset val="1"/>
    </font>
    <font>
      <b/>
      <sz val="10"/>
      <color rgb="FF008000"/>
      <name val="Arial"/>
      <charset val="1"/>
    </font>
    <font>
      <sz val="9"/>
      <color rgb="FFFFFFFF"/>
      <name val="Arial"/>
      <charset val="1"/>
    </font>
    <font>
      <i/>
      <sz val="9"/>
      <color rgb="FF8B6914"/>
      <name val="Arial"/>
      <charset val="1"/>
    </font>
    <font>
      <sz val="10"/>
      <color rgb="FF008000"/>
      <name val="Arial"/>
      <charset val="1"/>
    </font>
    <font>
      <i/>
      <sz val="9"/>
      <color rgb="FF000000"/>
      <name val="Arial"/>
      <charset val="1"/>
    </font>
    <font>
      <b/>
      <sz val="10"/>
      <color rgb="FF1A5C38"/>
      <name val="Arial"/>
      <charset val="1"/>
    </font>
    <font>
      <sz val="9"/>
      <color rgb="FF008000"/>
      <name val="Arial"/>
      <charset val="1"/>
    </font>
    <font>
      <sz val="10"/>
      <color rgb="FF444444"/>
      <name val="Arial"/>
      <charset val="1"/>
    </font>
    <font>
      <b/>
      <sz val="10"/>
      <color rgb="FF7A1515"/>
      <name val="Arial"/>
      <charset val="1"/>
    </font>
    <font>
      <b/>
      <sz val="10"/>
      <color rgb="FF8B691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5C38"/>
        <bgColor rgb="FF444444"/>
      </patternFill>
    </fill>
    <fill>
      <patternFill patternType="solid">
        <fgColor rgb="FFD6EAD8"/>
        <bgColor rgb="FFEFF7F0"/>
      </patternFill>
    </fill>
    <fill>
      <patternFill patternType="solid">
        <fgColor rgb="FFFFFACD"/>
        <bgColor rgb="FFFFF3CD"/>
      </patternFill>
    </fill>
    <fill>
      <patternFill patternType="solid">
        <fgColor rgb="FF2E8B57"/>
        <bgColor rgb="FF008080"/>
      </patternFill>
    </fill>
    <fill>
      <patternFill patternType="solid">
        <fgColor rgb="FFFFF3CD"/>
        <bgColor rgb="FFFFFACD"/>
      </patternFill>
    </fill>
    <fill>
      <patternFill patternType="solid">
        <fgColor rgb="FFFFFFFF"/>
        <bgColor rgb="FFEFF7F0"/>
      </patternFill>
    </fill>
    <fill>
      <patternFill patternType="solid">
        <fgColor rgb="FFEFF7F0"/>
        <bgColor rgb="FFFFFFFF"/>
      </patternFill>
    </fill>
    <fill>
      <patternFill patternType="solid">
        <fgColor rgb="FFFDE8E8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3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7" fontId="6" fillId="6" borderId="1" xfId="0" applyNumberFormat="1" applyFont="1" applyFill="1" applyBorder="1" applyAlignment="1">
      <alignment horizontal="center" vertical="center"/>
    </xf>
    <xf numFmtId="168" fontId="6" fillId="6" borderId="1" xfId="0" applyNumberFormat="1" applyFont="1" applyFill="1" applyBorder="1" applyAlignment="1">
      <alignment horizontal="center" vertical="center"/>
    </xf>
    <xf numFmtId="168" fontId="5" fillId="8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right" vertical="center"/>
    </xf>
    <xf numFmtId="165" fontId="14" fillId="6" borderId="1" xfId="0" applyNumberFormat="1" applyFont="1" applyFill="1" applyBorder="1" applyAlignment="1">
      <alignment horizontal="right" vertical="center"/>
    </xf>
    <xf numFmtId="169" fontId="14" fillId="6" borderId="1" xfId="0" applyNumberFormat="1" applyFont="1" applyFill="1" applyBorder="1" applyAlignment="1">
      <alignment horizontal="right" vertical="center"/>
    </xf>
    <xf numFmtId="169" fontId="9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3" fontId="16" fillId="7" borderId="1" xfId="0" applyNumberFormat="1" applyFont="1" applyFill="1" applyBorder="1" applyAlignment="1">
      <alignment horizontal="right" vertical="center"/>
    </xf>
    <xf numFmtId="165" fontId="16" fillId="7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9" fontId="16" fillId="7" borderId="1" xfId="0" applyNumberFormat="1" applyFont="1" applyFill="1" applyBorder="1" applyAlignment="1">
      <alignment horizontal="right" vertical="center"/>
    </xf>
    <xf numFmtId="164" fontId="16" fillId="8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/>
    <xf numFmtId="166" fontId="14" fillId="6" borderId="1" xfId="0" applyNumberFormat="1" applyFont="1" applyFill="1" applyBorder="1" applyAlignment="1">
      <alignment horizontal="right" vertical="center"/>
    </xf>
    <xf numFmtId="166" fontId="9" fillId="8" borderId="1" xfId="0" applyNumberFormat="1" applyFont="1" applyFill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70" fontId="9" fillId="8" borderId="1" xfId="0" applyNumberFormat="1" applyFont="1" applyFill="1" applyBorder="1" applyAlignment="1">
      <alignment horizontal="right" vertical="center"/>
    </xf>
    <xf numFmtId="0" fontId="15" fillId="0" borderId="1" xfId="0" applyFont="1" applyBorder="1"/>
    <xf numFmtId="3" fontId="19" fillId="8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20" fillId="0" borderId="1" xfId="0" applyFont="1" applyBorder="1"/>
    <xf numFmtId="164" fontId="19" fillId="8" borderId="1" xfId="0" applyNumberFormat="1" applyFont="1" applyFill="1" applyBorder="1" applyAlignment="1">
      <alignment horizontal="right" vertical="center"/>
    </xf>
    <xf numFmtId="168" fontId="9" fillId="7" borderId="1" xfId="0" applyNumberFormat="1" applyFont="1" applyFill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right" vertical="center"/>
    </xf>
    <xf numFmtId="168" fontId="5" fillId="8" borderId="1" xfId="0" applyNumberFormat="1" applyFont="1" applyFill="1" applyBorder="1" applyAlignment="1">
      <alignment horizontal="right" vertical="center"/>
    </xf>
    <xf numFmtId="168" fontId="21" fillId="8" borderId="1" xfId="0" applyNumberFormat="1" applyFont="1" applyFill="1" applyBorder="1" applyAlignment="1">
      <alignment horizontal="right" vertical="center"/>
    </xf>
    <xf numFmtId="168" fontId="21" fillId="3" borderId="1" xfId="0" applyNumberFormat="1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169" fontId="19" fillId="8" borderId="1" xfId="0" applyNumberFormat="1" applyFont="1" applyFill="1" applyBorder="1" applyAlignment="1">
      <alignment horizontal="right" vertical="center"/>
    </xf>
    <xf numFmtId="2" fontId="9" fillId="7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3" fontId="21" fillId="8" borderId="1" xfId="0" applyNumberFormat="1" applyFont="1" applyFill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168" fontId="16" fillId="8" borderId="1" xfId="0" applyNumberFormat="1" applyFont="1" applyFill="1" applyBorder="1" applyAlignment="1">
      <alignment horizontal="right" vertical="center"/>
    </xf>
    <xf numFmtId="168" fontId="19" fillId="7" borderId="1" xfId="0" applyNumberFormat="1" applyFont="1" applyFill="1" applyBorder="1" applyAlignment="1">
      <alignment horizontal="right" vertical="center"/>
    </xf>
    <xf numFmtId="168" fontId="21" fillId="7" borderId="1" xfId="0" applyNumberFormat="1" applyFont="1" applyFill="1" applyBorder="1" applyAlignment="1">
      <alignment horizontal="right" vertical="center"/>
    </xf>
    <xf numFmtId="3" fontId="22" fillId="7" borderId="1" xfId="0" applyNumberFormat="1" applyFont="1" applyFill="1" applyBorder="1" applyAlignment="1">
      <alignment horizontal="right" vertical="center"/>
    </xf>
    <xf numFmtId="167" fontId="22" fillId="7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1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515"/>
      <rgbColor rgb="FF008000"/>
      <rgbColor rgb="FF000080"/>
      <rgbColor rgb="FF8B6914"/>
      <rgbColor rgb="FF800080"/>
      <rgbColor rgb="FF008080"/>
      <rgbColor rgb="FFC0C0C0"/>
      <rgbColor rgb="FF808080"/>
      <rgbColor rgb="FF9999FF"/>
      <rgbColor rgb="FF993366"/>
      <rgbColor rgb="FFFFFACD"/>
      <rgbColor rgb="FFEF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8E8"/>
      <rgbColor rgb="FFD6EAD8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A5C38"/>
      <rgbColor rgb="FF2E8B57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A36" zoomScaleNormal="100" workbookViewId="0">
      <selection activeCell="B64" sqref="B64"/>
    </sheetView>
  </sheetViews>
  <sheetFormatPr defaultColWidth="8.7109375" defaultRowHeight="15" x14ac:dyDescent="0.25"/>
  <cols>
    <col min="1" max="1" width="38" customWidth="1"/>
    <col min="2" max="2" width="20" customWidth="1"/>
    <col min="3" max="3" width="32" customWidth="1"/>
    <col min="4" max="4" width="42" customWidth="1"/>
  </cols>
  <sheetData>
    <row r="1" spans="1:4" ht="36" customHeight="1" x14ac:dyDescent="0.25">
      <c r="A1" s="66" t="s">
        <v>0</v>
      </c>
      <c r="B1" s="66"/>
      <c r="C1" s="66"/>
      <c r="D1" s="66"/>
    </row>
    <row r="2" spans="1:4" ht="15" customHeight="1" x14ac:dyDescent="0.25">
      <c r="A2" s="67" t="s">
        <v>1</v>
      </c>
      <c r="B2" s="67"/>
      <c r="C2" s="67"/>
      <c r="D2" s="67"/>
    </row>
    <row r="3" spans="1:4" ht="15" customHeight="1" x14ac:dyDescent="0.25">
      <c r="A3" s="68" t="s">
        <v>2</v>
      </c>
      <c r="B3" s="68"/>
      <c r="C3" s="68"/>
      <c r="D3" s="68"/>
    </row>
    <row r="4" spans="1:4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15" customHeight="1" x14ac:dyDescent="0.25">
      <c r="A5" s="65" t="s">
        <v>7</v>
      </c>
      <c r="B5" s="65"/>
      <c r="C5" s="65"/>
      <c r="D5" s="65"/>
    </row>
    <row r="6" spans="1:4" ht="15" customHeight="1" x14ac:dyDescent="0.25">
      <c r="A6" s="2" t="s">
        <v>8</v>
      </c>
      <c r="B6" s="3">
        <v>94</v>
      </c>
      <c r="C6" s="4" t="s">
        <v>9</v>
      </c>
      <c r="D6" s="5" t="s">
        <v>10</v>
      </c>
    </row>
    <row r="7" spans="1:4" ht="15" customHeight="1" x14ac:dyDescent="0.25">
      <c r="A7" s="65" t="s">
        <v>11</v>
      </c>
      <c r="B7" s="65"/>
      <c r="C7" s="65"/>
      <c r="D7" s="65"/>
    </row>
    <row r="8" spans="1:4" ht="15" customHeight="1" x14ac:dyDescent="0.25">
      <c r="A8" s="2" t="s">
        <v>12</v>
      </c>
      <c r="B8" s="6">
        <v>35</v>
      </c>
      <c r="C8" s="4" t="s">
        <v>13</v>
      </c>
      <c r="D8" s="5" t="s">
        <v>14</v>
      </c>
    </row>
    <row r="9" spans="1:4" ht="15" customHeight="1" x14ac:dyDescent="0.25">
      <c r="A9" s="2" t="s">
        <v>15</v>
      </c>
      <c r="B9" s="6">
        <v>2000</v>
      </c>
      <c r="C9" s="4" t="s">
        <v>16</v>
      </c>
      <c r="D9" s="5" t="s">
        <v>17</v>
      </c>
    </row>
    <row r="10" spans="1:4" ht="15" customHeight="1" x14ac:dyDescent="0.25">
      <c r="A10" s="2" t="s">
        <v>18</v>
      </c>
      <c r="B10" s="6">
        <v>5000</v>
      </c>
      <c r="C10" s="4" t="s">
        <v>19</v>
      </c>
      <c r="D10" s="5" t="s">
        <v>20</v>
      </c>
    </row>
    <row r="11" spans="1:4" ht="21.75" customHeight="1" x14ac:dyDescent="0.25">
      <c r="A11" s="2" t="s">
        <v>21</v>
      </c>
      <c r="B11" s="6">
        <v>25</v>
      </c>
      <c r="C11" s="4" t="s">
        <v>22</v>
      </c>
      <c r="D11" s="5" t="s">
        <v>23</v>
      </c>
    </row>
    <row r="12" spans="1:4" ht="15" customHeight="1" x14ac:dyDescent="0.25">
      <c r="A12" s="2" t="s">
        <v>24</v>
      </c>
      <c r="B12" s="6">
        <v>10</v>
      </c>
      <c r="C12" s="4" t="s">
        <v>25</v>
      </c>
      <c r="D12" s="5" t="s">
        <v>26</v>
      </c>
    </row>
    <row r="13" spans="1:4" ht="15" customHeight="1" x14ac:dyDescent="0.25">
      <c r="A13" s="65" t="s">
        <v>27</v>
      </c>
      <c r="B13" s="65"/>
      <c r="C13" s="65"/>
      <c r="D13" s="65"/>
    </row>
    <row r="14" spans="1:4" ht="21.75" customHeight="1" x14ac:dyDescent="0.25">
      <c r="A14" s="2" t="s">
        <v>28</v>
      </c>
      <c r="B14" s="6">
        <v>4000</v>
      </c>
      <c r="C14" s="4" t="s">
        <v>29</v>
      </c>
      <c r="D14" s="5" t="s">
        <v>30</v>
      </c>
    </row>
    <row r="15" spans="1:4" ht="21.75" customHeight="1" x14ac:dyDescent="0.25">
      <c r="A15" s="2" t="s">
        <v>31</v>
      </c>
      <c r="B15" s="7">
        <v>28</v>
      </c>
      <c r="C15" s="4" t="s">
        <v>32</v>
      </c>
      <c r="D15" s="5" t="s">
        <v>33</v>
      </c>
    </row>
    <row r="16" spans="1:4" ht="15" customHeight="1" x14ac:dyDescent="0.25">
      <c r="A16" s="2" t="s">
        <v>34</v>
      </c>
      <c r="B16" s="8">
        <v>0.2</v>
      </c>
      <c r="C16" s="4" t="s">
        <v>35</v>
      </c>
      <c r="D16" s="5" t="s">
        <v>36</v>
      </c>
    </row>
    <row r="17" spans="1:4" ht="21.75" customHeight="1" x14ac:dyDescent="0.25">
      <c r="A17" s="2" t="s">
        <v>37</v>
      </c>
      <c r="B17" s="8">
        <v>0.85</v>
      </c>
      <c r="C17" s="4" t="s">
        <v>38</v>
      </c>
      <c r="D17" s="5" t="s">
        <v>39</v>
      </c>
    </row>
    <row r="18" spans="1:4" ht="21.75" customHeight="1" x14ac:dyDescent="0.25">
      <c r="A18" s="2" t="s">
        <v>40</v>
      </c>
      <c r="B18" s="6">
        <v>2</v>
      </c>
      <c r="C18" s="4" t="s">
        <v>41</v>
      </c>
      <c r="D18" s="5" t="s">
        <v>42</v>
      </c>
    </row>
    <row r="19" spans="1:4" ht="15" customHeight="1" x14ac:dyDescent="0.25">
      <c r="A19" s="65" t="s">
        <v>43</v>
      </c>
      <c r="B19" s="65"/>
      <c r="C19" s="65"/>
      <c r="D19" s="65"/>
    </row>
    <row r="20" spans="1:4" ht="15" customHeight="1" x14ac:dyDescent="0.25">
      <c r="A20" s="2" t="s">
        <v>44</v>
      </c>
      <c r="B20" s="9">
        <f>B14*B15</f>
        <v>112000</v>
      </c>
      <c r="C20" s="4" t="s">
        <v>45</v>
      </c>
      <c r="D20" s="5" t="s">
        <v>46</v>
      </c>
    </row>
    <row r="21" spans="1:4" ht="15" customHeight="1" x14ac:dyDescent="0.25">
      <c r="A21" s="2" t="s">
        <v>47</v>
      </c>
      <c r="B21" s="3">
        <v>10000</v>
      </c>
      <c r="C21" s="4" t="s">
        <v>48</v>
      </c>
      <c r="D21" s="5" t="s">
        <v>49</v>
      </c>
    </row>
    <row r="22" spans="1:4" ht="15" customHeight="1" x14ac:dyDescent="0.25">
      <c r="A22" s="2" t="s">
        <v>50</v>
      </c>
      <c r="B22" s="3">
        <v>10000</v>
      </c>
      <c r="C22" s="4" t="s">
        <v>51</v>
      </c>
      <c r="D22" s="5" t="s">
        <v>52</v>
      </c>
    </row>
    <row r="23" spans="1:4" ht="15" customHeight="1" x14ac:dyDescent="0.25">
      <c r="A23" s="2" t="s">
        <v>53</v>
      </c>
      <c r="B23" s="3">
        <v>7000</v>
      </c>
      <c r="C23" s="4" t="s">
        <v>54</v>
      </c>
      <c r="D23" s="5" t="s">
        <v>55</v>
      </c>
    </row>
    <row r="24" spans="1:4" ht="21.75" customHeight="1" x14ac:dyDescent="0.25">
      <c r="A24" s="2" t="s">
        <v>56</v>
      </c>
      <c r="B24" s="3">
        <v>21500</v>
      </c>
      <c r="C24" s="4" t="s">
        <v>57</v>
      </c>
      <c r="D24" s="5" t="s">
        <v>58</v>
      </c>
    </row>
    <row r="25" spans="1:4" ht="15" customHeight="1" x14ac:dyDescent="0.25">
      <c r="A25" s="2" t="s">
        <v>59</v>
      </c>
      <c r="B25" s="3">
        <v>30000</v>
      </c>
      <c r="C25" s="4" t="s">
        <v>60</v>
      </c>
      <c r="D25" s="5" t="s">
        <v>61</v>
      </c>
    </row>
    <row r="26" spans="1:4" ht="15" customHeight="1" x14ac:dyDescent="0.25">
      <c r="A26" s="2" t="s">
        <v>62</v>
      </c>
      <c r="B26" s="3">
        <v>16500</v>
      </c>
      <c r="C26" s="4" t="s">
        <v>63</v>
      </c>
      <c r="D26" s="5" t="s">
        <v>64</v>
      </c>
    </row>
    <row r="27" spans="1:4" ht="15" customHeight="1" x14ac:dyDescent="0.25">
      <c r="A27" s="2" t="s">
        <v>65</v>
      </c>
      <c r="B27" s="3">
        <v>10000</v>
      </c>
      <c r="C27" s="4" t="s">
        <v>66</v>
      </c>
      <c r="D27" s="5" t="s">
        <v>67</v>
      </c>
    </row>
    <row r="28" spans="1:4" ht="15" customHeight="1" x14ac:dyDescent="0.25">
      <c r="A28" s="2" t="s">
        <v>68</v>
      </c>
      <c r="B28" s="3">
        <v>22400</v>
      </c>
      <c r="C28" s="4" t="s">
        <v>69</v>
      </c>
      <c r="D28" s="5" t="s">
        <v>70</v>
      </c>
    </row>
    <row r="29" spans="1:4" ht="15" customHeight="1" x14ac:dyDescent="0.25">
      <c r="A29" s="2" t="s">
        <v>71</v>
      </c>
      <c r="B29" s="3">
        <v>9000</v>
      </c>
      <c r="C29" s="4" t="s">
        <v>72</v>
      </c>
      <c r="D29" s="5" t="s">
        <v>73</v>
      </c>
    </row>
    <row r="30" spans="1:4" ht="15" customHeight="1" x14ac:dyDescent="0.25">
      <c r="A30" s="2" t="s">
        <v>74</v>
      </c>
      <c r="B30" s="10">
        <f>B20+B21+B22+B23+B24+B25+B26+B27+B28+B29</f>
        <v>248400</v>
      </c>
      <c r="C30" s="4" t="s">
        <v>75</v>
      </c>
      <c r="D30" s="5" t="s">
        <v>76</v>
      </c>
    </row>
    <row r="31" spans="1:4" ht="15" customHeight="1" x14ac:dyDescent="0.25">
      <c r="A31" s="2" t="s">
        <v>77</v>
      </c>
      <c r="B31" s="8">
        <v>0.05</v>
      </c>
      <c r="C31" s="4" t="s">
        <v>78</v>
      </c>
      <c r="D31" s="5" t="s">
        <v>79</v>
      </c>
    </row>
    <row r="32" spans="1:4" ht="15" customHeight="1" x14ac:dyDescent="0.25">
      <c r="A32" s="65" t="s">
        <v>80</v>
      </c>
      <c r="B32" s="65"/>
      <c r="C32" s="65"/>
      <c r="D32" s="65"/>
    </row>
    <row r="33" spans="1:4" ht="21.75" customHeight="1" x14ac:dyDescent="0.25">
      <c r="A33" s="2" t="s">
        <v>81</v>
      </c>
      <c r="B33" s="6">
        <v>22</v>
      </c>
      <c r="C33" s="4" t="s">
        <v>82</v>
      </c>
      <c r="D33" s="5" t="s">
        <v>83</v>
      </c>
    </row>
    <row r="34" spans="1:4" ht="15" customHeight="1" x14ac:dyDescent="0.25">
      <c r="A34" s="2" t="s">
        <v>84</v>
      </c>
      <c r="B34" s="8">
        <v>0.02</v>
      </c>
      <c r="C34" s="4" t="s">
        <v>85</v>
      </c>
      <c r="D34" s="5" t="s">
        <v>86</v>
      </c>
    </row>
    <row r="35" spans="1:4" ht="21.75" customHeight="1" x14ac:dyDescent="0.25">
      <c r="A35" s="2" t="s">
        <v>87</v>
      </c>
      <c r="B35" s="6">
        <v>30</v>
      </c>
      <c r="C35" s="4" t="s">
        <v>88</v>
      </c>
      <c r="D35" s="5" t="s">
        <v>89</v>
      </c>
    </row>
    <row r="36" spans="1:4" ht="21.75" customHeight="1" x14ac:dyDescent="0.25">
      <c r="A36" s="2" t="s">
        <v>90</v>
      </c>
      <c r="B36" s="8">
        <v>0.15</v>
      </c>
      <c r="C36" s="4" t="s">
        <v>91</v>
      </c>
      <c r="D36" s="5" t="s">
        <v>92</v>
      </c>
    </row>
    <row r="37" spans="1:4" ht="15" customHeight="1" x14ac:dyDescent="0.25">
      <c r="A37" s="65" t="s">
        <v>93</v>
      </c>
      <c r="B37" s="65"/>
      <c r="C37" s="65"/>
      <c r="D37" s="65"/>
    </row>
    <row r="38" spans="1:4" ht="15" customHeight="1" x14ac:dyDescent="0.25">
      <c r="A38" s="2" t="s">
        <v>94</v>
      </c>
      <c r="B38" s="11">
        <v>12</v>
      </c>
      <c r="C38" s="4" t="s">
        <v>95</v>
      </c>
      <c r="D38" s="5" t="s">
        <v>96</v>
      </c>
    </row>
    <row r="39" spans="1:4" ht="21.75" customHeight="1" x14ac:dyDescent="0.25">
      <c r="A39" s="2" t="s">
        <v>97</v>
      </c>
      <c r="B39" s="8">
        <v>0.05</v>
      </c>
      <c r="C39" s="4" t="s">
        <v>98</v>
      </c>
      <c r="D39" s="5" t="s">
        <v>99</v>
      </c>
    </row>
    <row r="40" spans="1:4" ht="15" customHeight="1" x14ac:dyDescent="0.25">
      <c r="A40" s="65" t="s">
        <v>100</v>
      </c>
      <c r="B40" s="65"/>
      <c r="C40" s="65"/>
      <c r="D40" s="65"/>
    </row>
    <row r="41" spans="1:4" ht="15" customHeight="1" x14ac:dyDescent="0.25">
      <c r="A41" s="2" t="s">
        <v>101</v>
      </c>
      <c r="B41" s="3">
        <v>475000</v>
      </c>
      <c r="C41" s="4" t="s">
        <v>102</v>
      </c>
      <c r="D41" s="5" t="s">
        <v>103</v>
      </c>
    </row>
    <row r="42" spans="1:4" ht="15" customHeight="1" x14ac:dyDescent="0.25">
      <c r="A42" s="2" t="s">
        <v>104</v>
      </c>
      <c r="B42" s="3">
        <v>47000</v>
      </c>
      <c r="C42" s="4" t="s">
        <v>105</v>
      </c>
      <c r="D42" s="5" t="s">
        <v>106</v>
      </c>
    </row>
    <row r="43" spans="1:4" ht="15" customHeight="1" x14ac:dyDescent="0.25">
      <c r="A43" s="2" t="s">
        <v>107</v>
      </c>
      <c r="B43" s="3">
        <v>28200</v>
      </c>
      <c r="C43" s="4" t="s">
        <v>108</v>
      </c>
      <c r="D43" s="5" t="s">
        <v>109</v>
      </c>
    </row>
    <row r="44" spans="1:4" ht="15" customHeight="1" x14ac:dyDescent="0.25">
      <c r="A44" s="2" t="s">
        <v>110</v>
      </c>
      <c r="B44" s="3">
        <v>75000</v>
      </c>
      <c r="C44" s="4" t="s">
        <v>111</v>
      </c>
      <c r="D44" s="5" t="s">
        <v>112</v>
      </c>
    </row>
    <row r="45" spans="1:4" ht="15" customHeight="1" x14ac:dyDescent="0.25">
      <c r="A45" s="2" t="s">
        <v>113</v>
      </c>
      <c r="B45" s="3">
        <v>550000</v>
      </c>
      <c r="C45" s="4" t="s">
        <v>114</v>
      </c>
      <c r="D45" s="5" t="s">
        <v>115</v>
      </c>
    </row>
    <row r="46" spans="1:4" ht="15" customHeight="1" x14ac:dyDescent="0.25">
      <c r="A46" s="2" t="s">
        <v>116</v>
      </c>
      <c r="B46" s="3">
        <v>175000</v>
      </c>
      <c r="C46" s="4" t="s">
        <v>117</v>
      </c>
      <c r="D46" s="5" t="s">
        <v>118</v>
      </c>
    </row>
    <row r="47" spans="1:4" ht="15" customHeight="1" x14ac:dyDescent="0.25">
      <c r="A47" s="2" t="s">
        <v>119</v>
      </c>
      <c r="B47" s="3">
        <v>115000</v>
      </c>
      <c r="C47" s="4" t="s">
        <v>120</v>
      </c>
      <c r="D47" s="5" t="s">
        <v>121</v>
      </c>
    </row>
    <row r="48" spans="1:4" ht="15" customHeight="1" x14ac:dyDescent="0.25">
      <c r="A48" s="2" t="s">
        <v>122</v>
      </c>
      <c r="B48" s="3">
        <v>200000</v>
      </c>
      <c r="C48" s="4" t="s">
        <v>123</v>
      </c>
      <c r="D48" s="5" t="s">
        <v>124</v>
      </c>
    </row>
    <row r="49" spans="1:4" ht="21.75" customHeight="1" x14ac:dyDescent="0.25">
      <c r="A49" s="2" t="s">
        <v>125</v>
      </c>
      <c r="B49" s="3">
        <v>115000</v>
      </c>
      <c r="C49" s="4" t="s">
        <v>126</v>
      </c>
      <c r="D49" s="5" t="s">
        <v>127</v>
      </c>
    </row>
    <row r="50" spans="1:4" ht="15" customHeight="1" x14ac:dyDescent="0.25">
      <c r="A50" s="2" t="s">
        <v>128</v>
      </c>
      <c r="B50" s="3">
        <v>150000</v>
      </c>
      <c r="C50" s="4" t="s">
        <v>129</v>
      </c>
      <c r="D50" s="5" t="s">
        <v>130</v>
      </c>
    </row>
    <row r="51" spans="1:4" ht="15" customHeight="1" x14ac:dyDescent="0.25">
      <c r="A51" s="2" t="s">
        <v>131</v>
      </c>
      <c r="B51" s="10">
        <f>B41+B42+B43+B44+B45+B46+B47+B48+B49+B50</f>
        <v>1930200</v>
      </c>
      <c r="C51" s="4" t="s">
        <v>132</v>
      </c>
      <c r="D51" s="5" t="s">
        <v>133</v>
      </c>
    </row>
    <row r="52" spans="1:4" ht="15" customHeight="1" x14ac:dyDescent="0.25">
      <c r="A52" s="65" t="s">
        <v>134</v>
      </c>
      <c r="B52" s="65"/>
      <c r="C52" s="65"/>
      <c r="D52" s="65"/>
    </row>
    <row r="53" spans="1:4" ht="21.75" customHeight="1" x14ac:dyDescent="0.25">
      <c r="A53" s="2" t="s">
        <v>135</v>
      </c>
      <c r="B53" s="12">
        <v>7.5</v>
      </c>
      <c r="C53" s="4" t="s">
        <v>136</v>
      </c>
      <c r="D53" s="5" t="s">
        <v>137</v>
      </c>
    </row>
    <row r="54" spans="1:4" ht="15" customHeight="1" x14ac:dyDescent="0.25">
      <c r="A54" s="2" t="s">
        <v>138</v>
      </c>
      <c r="B54" s="12">
        <v>9</v>
      </c>
      <c r="C54" s="4" t="s">
        <v>139</v>
      </c>
      <c r="D54" s="5" t="s">
        <v>140</v>
      </c>
    </row>
    <row r="55" spans="1:4" ht="15" customHeight="1" x14ac:dyDescent="0.25">
      <c r="A55" s="2" t="s">
        <v>141</v>
      </c>
      <c r="B55" s="12">
        <v>8.3000000000000004E-2</v>
      </c>
      <c r="C55" s="4" t="s">
        <v>142</v>
      </c>
      <c r="D55" s="5" t="s">
        <v>143</v>
      </c>
    </row>
    <row r="56" spans="1:4" ht="15" customHeight="1" x14ac:dyDescent="0.25">
      <c r="A56" s="2" t="s">
        <v>144</v>
      </c>
      <c r="B56" s="12">
        <v>15</v>
      </c>
      <c r="C56" s="4" t="s">
        <v>145</v>
      </c>
      <c r="D56" s="5" t="s">
        <v>146</v>
      </c>
    </row>
    <row r="57" spans="1:4" ht="15" customHeight="1" x14ac:dyDescent="0.25">
      <c r="A57" s="2" t="s">
        <v>147</v>
      </c>
      <c r="B57" s="12">
        <v>12</v>
      </c>
      <c r="C57" s="4" t="s">
        <v>148</v>
      </c>
      <c r="D57" s="5" t="s">
        <v>149</v>
      </c>
    </row>
    <row r="58" spans="1:4" ht="15" customHeight="1" x14ac:dyDescent="0.25">
      <c r="A58" s="2" t="s">
        <v>150</v>
      </c>
      <c r="B58" s="12">
        <v>6</v>
      </c>
      <c r="C58" s="4" t="s">
        <v>151</v>
      </c>
      <c r="D58" s="5" t="s">
        <v>152</v>
      </c>
    </row>
    <row r="59" spans="1:4" ht="15" customHeight="1" x14ac:dyDescent="0.25">
      <c r="A59" s="2" t="s">
        <v>153</v>
      </c>
      <c r="B59" s="12">
        <v>15</v>
      </c>
      <c r="C59" s="4" t="s">
        <v>154</v>
      </c>
      <c r="D59" s="5" t="s">
        <v>155</v>
      </c>
    </row>
    <row r="60" spans="1:4" ht="15" customHeight="1" x14ac:dyDescent="0.25">
      <c r="A60" s="2" t="s">
        <v>156</v>
      </c>
      <c r="B60" s="12">
        <v>4</v>
      </c>
      <c r="C60" s="4" t="s">
        <v>157</v>
      </c>
      <c r="D60" s="5" t="s">
        <v>158</v>
      </c>
    </row>
    <row r="61" spans="1:4" ht="15" customHeight="1" x14ac:dyDescent="0.25">
      <c r="A61" s="2" t="s">
        <v>159</v>
      </c>
      <c r="B61" s="12">
        <v>8</v>
      </c>
      <c r="C61" s="4" t="s">
        <v>160</v>
      </c>
      <c r="D61" s="5" t="s">
        <v>161</v>
      </c>
    </row>
    <row r="62" spans="1:4" ht="15" customHeight="1" x14ac:dyDescent="0.25">
      <c r="A62" s="2" t="s">
        <v>162</v>
      </c>
      <c r="B62" s="12">
        <v>2.75</v>
      </c>
      <c r="C62" s="4" t="s">
        <v>163</v>
      </c>
      <c r="D62" s="5" t="s">
        <v>164</v>
      </c>
    </row>
    <row r="63" spans="1:4" ht="15" customHeight="1" x14ac:dyDescent="0.25">
      <c r="A63" s="2" t="s">
        <v>165</v>
      </c>
      <c r="B63" s="8">
        <v>0.02</v>
      </c>
      <c r="C63" s="4" t="s">
        <v>166</v>
      </c>
      <c r="D63" s="5" t="s">
        <v>167</v>
      </c>
    </row>
    <row r="64" spans="1:4" ht="15" customHeight="1" x14ac:dyDescent="0.25">
      <c r="A64" s="2" t="s">
        <v>168</v>
      </c>
      <c r="B64" s="13">
        <f>B53+B54+B55+B56+B57+B58+B59+B60+B61+B62</f>
        <v>79.332999999999998</v>
      </c>
      <c r="C64" s="4" t="s">
        <v>169</v>
      </c>
      <c r="D64" s="5" t="s">
        <v>170</v>
      </c>
    </row>
  </sheetData>
  <mergeCells count="11">
    <mergeCell ref="A1:D1"/>
    <mergeCell ref="A2:D2"/>
    <mergeCell ref="A3:D3"/>
    <mergeCell ref="A5:D5"/>
    <mergeCell ref="A7:D7"/>
    <mergeCell ref="A52:D52"/>
    <mergeCell ref="A13:D13"/>
    <mergeCell ref="A19:D19"/>
    <mergeCell ref="A32:D32"/>
    <mergeCell ref="A37:D37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A11" zoomScaleNormal="100" workbookViewId="0">
      <selection activeCell="H19" sqref="H19"/>
    </sheetView>
  </sheetViews>
  <sheetFormatPr defaultColWidth="8.7109375" defaultRowHeight="15" x14ac:dyDescent="0.25"/>
  <cols>
    <col min="1" max="1" width="26" customWidth="1"/>
    <col min="2" max="2" width="22" customWidth="1"/>
    <col min="3" max="4" width="14" customWidth="1"/>
    <col min="5" max="6" width="16" customWidth="1"/>
    <col min="7" max="8" width="18" customWidth="1"/>
    <col min="9" max="9" width="22" customWidth="1"/>
  </cols>
  <sheetData>
    <row r="1" spans="1:9" ht="30" customHeight="1" x14ac:dyDescent="0.25">
      <c r="A1" s="70" t="s">
        <v>171</v>
      </c>
      <c r="B1" s="70"/>
      <c r="C1" s="70"/>
      <c r="D1" s="70"/>
      <c r="E1" s="70"/>
      <c r="F1" s="70"/>
      <c r="G1" s="70"/>
      <c r="H1" s="70"/>
      <c r="I1" s="70"/>
    </row>
    <row r="2" spans="1:9" ht="15" customHeight="1" x14ac:dyDescent="0.25">
      <c r="A2" s="71" t="s">
        <v>172</v>
      </c>
      <c r="B2" s="71"/>
      <c r="C2" s="71"/>
      <c r="D2" s="71"/>
      <c r="E2" s="71"/>
      <c r="F2" s="71"/>
      <c r="G2" s="71"/>
      <c r="H2" s="71"/>
      <c r="I2" s="71"/>
    </row>
    <row r="4" spans="1:9" ht="15" customHeight="1" x14ac:dyDescent="0.25">
      <c r="A4" s="72" t="s">
        <v>173</v>
      </c>
      <c r="B4" s="72"/>
      <c r="C4" s="72"/>
      <c r="D4" s="72"/>
      <c r="E4" s="72"/>
      <c r="F4" s="72"/>
      <c r="G4" s="72"/>
      <c r="H4" s="72"/>
      <c r="I4" s="72"/>
    </row>
    <row r="5" spans="1:9" ht="23.25" customHeight="1" x14ac:dyDescent="0.25">
      <c r="A5" s="14" t="s">
        <v>174</v>
      </c>
      <c r="B5" s="14" t="s">
        <v>175</v>
      </c>
      <c r="C5" s="14" t="s">
        <v>176</v>
      </c>
      <c r="D5" s="14" t="s">
        <v>177</v>
      </c>
      <c r="E5" s="14" t="s">
        <v>178</v>
      </c>
      <c r="F5" s="14" t="s">
        <v>179</v>
      </c>
      <c r="G5" s="14" t="s">
        <v>180</v>
      </c>
      <c r="H5" s="14" t="s">
        <v>181</v>
      </c>
      <c r="I5" s="14" t="s">
        <v>182</v>
      </c>
    </row>
    <row r="6" spans="1:9" ht="15" customHeight="1" x14ac:dyDescent="0.25">
      <c r="A6" s="15" t="s">
        <v>183</v>
      </c>
      <c r="B6" s="16" t="s">
        <v>184</v>
      </c>
      <c r="C6" s="17">
        <v>3750</v>
      </c>
      <c r="D6" s="18">
        <v>40</v>
      </c>
      <c r="E6" s="19">
        <v>12</v>
      </c>
      <c r="F6" s="19">
        <v>18.600000000000001</v>
      </c>
      <c r="G6" s="20">
        <f t="shared" ref="G6:G13" si="0">(E6+F6)/2</f>
        <v>15.3</v>
      </c>
      <c r="H6" s="21">
        <f t="shared" ref="H6:H13" si="1">C6*D6</f>
        <v>150000</v>
      </c>
      <c r="I6" s="22" t="s">
        <v>185</v>
      </c>
    </row>
    <row r="7" spans="1:9" ht="15" customHeight="1" x14ac:dyDescent="0.25">
      <c r="A7" s="23" t="s">
        <v>186</v>
      </c>
      <c r="B7" s="24" t="s">
        <v>187</v>
      </c>
      <c r="C7" s="17">
        <v>4500</v>
      </c>
      <c r="D7" s="18">
        <v>25</v>
      </c>
      <c r="E7" s="19">
        <v>8</v>
      </c>
      <c r="F7" s="19">
        <v>14.2</v>
      </c>
      <c r="G7" s="20">
        <f t="shared" si="0"/>
        <v>11.1</v>
      </c>
      <c r="H7" s="21">
        <f t="shared" si="1"/>
        <v>112500</v>
      </c>
      <c r="I7" s="25" t="s">
        <v>188</v>
      </c>
    </row>
    <row r="8" spans="1:9" ht="15" customHeight="1" x14ac:dyDescent="0.25">
      <c r="A8" s="15" t="s">
        <v>189</v>
      </c>
      <c r="B8" s="16" t="s">
        <v>190</v>
      </c>
      <c r="C8" s="17">
        <v>4150</v>
      </c>
      <c r="D8" s="18">
        <v>27</v>
      </c>
      <c r="E8" s="19">
        <v>9</v>
      </c>
      <c r="F8" s="19">
        <v>13.5</v>
      </c>
      <c r="G8" s="20">
        <f t="shared" si="0"/>
        <v>11.25</v>
      </c>
      <c r="H8" s="21">
        <f t="shared" si="1"/>
        <v>112050</v>
      </c>
      <c r="I8" s="22" t="s">
        <v>191</v>
      </c>
    </row>
    <row r="9" spans="1:9" ht="15" customHeight="1" x14ac:dyDescent="0.25">
      <c r="A9" s="23" t="s">
        <v>192</v>
      </c>
      <c r="B9" s="24" t="s">
        <v>193</v>
      </c>
      <c r="C9" s="17">
        <v>3250</v>
      </c>
      <c r="D9" s="18">
        <v>47</v>
      </c>
      <c r="E9" s="19">
        <v>10.5</v>
      </c>
      <c r="F9" s="19">
        <v>15.8</v>
      </c>
      <c r="G9" s="20">
        <f t="shared" si="0"/>
        <v>13.15</v>
      </c>
      <c r="H9" s="21">
        <f t="shared" si="1"/>
        <v>152750</v>
      </c>
      <c r="I9" s="25" t="s">
        <v>194</v>
      </c>
    </row>
    <row r="10" spans="1:9" ht="15" customHeight="1" x14ac:dyDescent="0.25">
      <c r="A10" s="15" t="s">
        <v>195</v>
      </c>
      <c r="B10" s="16" t="s">
        <v>196</v>
      </c>
      <c r="C10" s="17">
        <v>4750</v>
      </c>
      <c r="D10" s="18">
        <v>30</v>
      </c>
      <c r="E10" s="19">
        <v>7.8</v>
      </c>
      <c r="F10" s="19">
        <v>11.4</v>
      </c>
      <c r="G10" s="20">
        <f t="shared" si="0"/>
        <v>9.6</v>
      </c>
      <c r="H10" s="21">
        <f t="shared" si="1"/>
        <v>142500</v>
      </c>
      <c r="I10" s="22" t="s">
        <v>197</v>
      </c>
    </row>
    <row r="11" spans="1:9" ht="15" customHeight="1" x14ac:dyDescent="0.25">
      <c r="A11" s="23" t="s">
        <v>198</v>
      </c>
      <c r="B11" s="24" t="s">
        <v>199</v>
      </c>
      <c r="C11" s="17">
        <v>2750</v>
      </c>
      <c r="D11" s="18">
        <v>35</v>
      </c>
      <c r="E11" s="19">
        <v>9.5</v>
      </c>
      <c r="F11" s="19">
        <v>13</v>
      </c>
      <c r="G11" s="20">
        <f t="shared" si="0"/>
        <v>11.25</v>
      </c>
      <c r="H11" s="21">
        <f t="shared" si="1"/>
        <v>96250</v>
      </c>
      <c r="I11" s="25" t="s">
        <v>200</v>
      </c>
    </row>
    <row r="12" spans="1:9" ht="15" customHeight="1" x14ac:dyDescent="0.25">
      <c r="A12" s="15" t="s">
        <v>201</v>
      </c>
      <c r="B12" s="16" t="s">
        <v>202</v>
      </c>
      <c r="C12" s="17">
        <v>5500</v>
      </c>
      <c r="D12" s="18">
        <v>17</v>
      </c>
      <c r="E12" s="19">
        <v>5.5</v>
      </c>
      <c r="F12" s="19">
        <v>8</v>
      </c>
      <c r="G12" s="20">
        <f t="shared" si="0"/>
        <v>6.75</v>
      </c>
      <c r="H12" s="21">
        <f t="shared" si="1"/>
        <v>93500</v>
      </c>
      <c r="I12" s="22" t="s">
        <v>203</v>
      </c>
    </row>
    <row r="13" spans="1:9" ht="15" customHeight="1" x14ac:dyDescent="0.25">
      <c r="A13" s="23" t="s">
        <v>204</v>
      </c>
      <c r="B13" s="24" t="s">
        <v>205</v>
      </c>
      <c r="C13" s="17">
        <v>3750</v>
      </c>
      <c r="D13" s="18">
        <v>21</v>
      </c>
      <c r="E13" s="19">
        <v>4.2</v>
      </c>
      <c r="F13" s="19">
        <v>6.5</v>
      </c>
      <c r="G13" s="20">
        <f t="shared" si="0"/>
        <v>5.35</v>
      </c>
      <c r="H13" s="21">
        <f t="shared" si="1"/>
        <v>78750</v>
      </c>
      <c r="I13" s="25" t="s">
        <v>206</v>
      </c>
    </row>
    <row r="14" spans="1:9" ht="15" customHeight="1" x14ac:dyDescent="0.25">
      <c r="A14" s="73" t="s">
        <v>207</v>
      </c>
      <c r="B14" s="73"/>
      <c r="C14" s="26">
        <f>'1_Assumptions'!B14</f>
        <v>4000</v>
      </c>
      <c r="D14" s="27">
        <f>'1_Assumptions'!B15</f>
        <v>28</v>
      </c>
      <c r="E14" s="28" t="s">
        <v>208</v>
      </c>
      <c r="F14" s="28" t="s">
        <v>208</v>
      </c>
      <c r="G14" s="29">
        <f>'1_Assumptions'!B33</f>
        <v>22</v>
      </c>
      <c r="H14" s="30">
        <f>'1_Assumptions'!B14*'1_Assumptions'!B15</f>
        <v>112000</v>
      </c>
      <c r="I14" s="31" t="s">
        <v>209</v>
      </c>
    </row>
    <row r="17" spans="1:9" ht="15" customHeight="1" x14ac:dyDescent="0.25">
      <c r="A17" s="74" t="s">
        <v>210</v>
      </c>
      <c r="B17" s="74"/>
      <c r="C17" s="74"/>
      <c r="D17" s="74"/>
      <c r="E17" s="74"/>
      <c r="F17" s="74"/>
      <c r="G17" s="74"/>
      <c r="H17" s="74"/>
      <c r="I17" s="74"/>
    </row>
    <row r="18" spans="1:9" ht="23.25" customHeight="1" x14ac:dyDescent="0.25">
      <c r="A18" s="14" t="s">
        <v>211</v>
      </c>
      <c r="B18" s="14" t="s">
        <v>212</v>
      </c>
      <c r="C18" s="14" t="s">
        <v>213</v>
      </c>
      <c r="D18" s="14" t="s">
        <v>214</v>
      </c>
      <c r="E18" s="14" t="s">
        <v>215</v>
      </c>
      <c r="F18" s="14" t="s">
        <v>216</v>
      </c>
      <c r="G18" s="14" t="s">
        <v>217</v>
      </c>
      <c r="H18" s="14" t="s">
        <v>218</v>
      </c>
      <c r="I18" s="14" t="s">
        <v>219</v>
      </c>
    </row>
    <row r="19" spans="1:9" ht="15" customHeight="1" x14ac:dyDescent="0.25">
      <c r="A19" s="16" t="s">
        <v>220</v>
      </c>
      <c r="B19" s="32">
        <v>0.6</v>
      </c>
      <c r="C19" s="32">
        <v>0</v>
      </c>
      <c r="D19" s="32">
        <v>0</v>
      </c>
      <c r="E19" s="32">
        <v>0.25</v>
      </c>
      <c r="F19" s="32">
        <v>0</v>
      </c>
      <c r="G19" s="32">
        <v>0.15</v>
      </c>
      <c r="H19" s="33">
        <f>SUM(B19:G19)</f>
        <v>1</v>
      </c>
      <c r="I19" s="19">
        <v>20</v>
      </c>
    </row>
    <row r="20" spans="1:9" ht="15" customHeight="1" x14ac:dyDescent="0.25">
      <c r="A20" s="24" t="s">
        <v>221</v>
      </c>
      <c r="B20" s="32">
        <v>0.5</v>
      </c>
      <c r="C20" s="32">
        <v>0.3</v>
      </c>
      <c r="D20" s="32">
        <v>0</v>
      </c>
      <c r="E20" s="32">
        <v>0.1</v>
      </c>
      <c r="F20" s="32">
        <v>0</v>
      </c>
      <c r="G20" s="32">
        <v>0.1</v>
      </c>
      <c r="H20" s="34">
        <f>SUM(B20:G20)</f>
        <v>1</v>
      </c>
      <c r="I20" s="19">
        <v>24</v>
      </c>
    </row>
    <row r="21" spans="1:9" ht="15" customHeight="1" x14ac:dyDescent="0.25">
      <c r="A21" s="16" t="s">
        <v>222</v>
      </c>
      <c r="B21" s="32">
        <v>0.45</v>
      </c>
      <c r="C21" s="32">
        <v>0.25</v>
      </c>
      <c r="D21" s="32">
        <v>0.1</v>
      </c>
      <c r="E21" s="32">
        <v>0.1</v>
      </c>
      <c r="F21" s="32">
        <v>0</v>
      </c>
      <c r="G21" s="32">
        <v>0.1</v>
      </c>
      <c r="H21" s="33">
        <f>SUM(B21:G21)</f>
        <v>0.99999999999999989</v>
      </c>
      <c r="I21" s="19">
        <v>23</v>
      </c>
    </row>
    <row r="22" spans="1:9" ht="15" customHeight="1" x14ac:dyDescent="0.25">
      <c r="A22" s="24" t="s">
        <v>223</v>
      </c>
      <c r="B22" s="32">
        <v>0.2</v>
      </c>
      <c r="C22" s="32">
        <v>0.25</v>
      </c>
      <c r="D22" s="32">
        <v>0.25</v>
      </c>
      <c r="E22" s="32">
        <v>0.2</v>
      </c>
      <c r="F22" s="32">
        <v>0.1</v>
      </c>
      <c r="G22" s="32">
        <v>0</v>
      </c>
      <c r="H22" s="34">
        <f>SUM(B22:G22)</f>
        <v>0.99999999999999989</v>
      </c>
      <c r="I22" s="19">
        <v>27</v>
      </c>
    </row>
    <row r="23" spans="1:9" ht="15" customHeight="1" x14ac:dyDescent="0.25">
      <c r="A23" s="16" t="s">
        <v>224</v>
      </c>
      <c r="B23" s="32">
        <v>0.25</v>
      </c>
      <c r="C23" s="32">
        <v>0.35</v>
      </c>
      <c r="D23" s="32">
        <v>0.2</v>
      </c>
      <c r="E23" s="32">
        <v>0.1</v>
      </c>
      <c r="F23" s="32">
        <v>0</v>
      </c>
      <c r="G23" s="32">
        <v>0.1</v>
      </c>
      <c r="H23" s="33">
        <f>SUM(B23:G23)</f>
        <v>1</v>
      </c>
      <c r="I23" s="19">
        <v>25</v>
      </c>
    </row>
    <row r="25" spans="1:9" ht="15" customHeight="1" x14ac:dyDescent="0.25">
      <c r="A25" s="69" t="s">
        <v>225</v>
      </c>
      <c r="B25" s="69"/>
      <c r="C25" s="69"/>
      <c r="D25" s="69"/>
      <c r="E25" s="69"/>
      <c r="F25" s="69"/>
      <c r="G25" s="69"/>
      <c r="H25" s="69"/>
      <c r="I25" s="69"/>
    </row>
  </sheetData>
  <mergeCells count="6">
    <mergeCell ref="A25:I25"/>
    <mergeCell ref="A1:I1"/>
    <mergeCell ref="A2:I2"/>
    <mergeCell ref="A4:I4"/>
    <mergeCell ref="A14:B14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opLeftCell="A21" zoomScaleNormal="100" workbookViewId="0">
      <selection activeCell="A23" sqref="A23:M23"/>
    </sheetView>
  </sheetViews>
  <sheetFormatPr defaultColWidth="8.7109375" defaultRowHeight="15" x14ac:dyDescent="0.25"/>
  <cols>
    <col min="1" max="1" width="42" customWidth="1"/>
    <col min="2" max="3" width="10" customWidth="1"/>
    <col min="4" max="8" width="14" customWidth="1"/>
    <col min="9" max="12" width="16" customWidth="1"/>
    <col min="13" max="14" width="18" customWidth="1"/>
  </cols>
  <sheetData>
    <row r="1" spans="1:14" ht="27.75" customHeight="1" x14ac:dyDescent="0.25">
      <c r="A1" s="70" t="s">
        <v>226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" customHeight="1" x14ac:dyDescent="0.25">
      <c r="A2" s="71" t="s">
        <v>227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ht="15" customHeight="1" x14ac:dyDescent="0.25">
      <c r="A4" s="74" t="s">
        <v>228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</row>
    <row r="5" spans="1:14" ht="23.25" customHeight="1" x14ac:dyDescent="0.25">
      <c r="A5" s="14" t="s">
        <v>229</v>
      </c>
      <c r="B5" s="14" t="s">
        <v>230</v>
      </c>
      <c r="C5" s="14" t="s">
        <v>231</v>
      </c>
      <c r="D5" s="14" t="s">
        <v>232</v>
      </c>
      <c r="E5" s="14" t="s">
        <v>233</v>
      </c>
      <c r="F5" s="14" t="s">
        <v>234</v>
      </c>
      <c r="G5" s="14" t="s">
        <v>235</v>
      </c>
      <c r="H5" s="14" t="s">
        <v>236</v>
      </c>
      <c r="I5" s="14" t="s">
        <v>237</v>
      </c>
      <c r="J5" s="14" t="s">
        <v>238</v>
      </c>
      <c r="K5" s="14" t="s">
        <v>239</v>
      </c>
      <c r="L5" s="14" t="s">
        <v>240</v>
      </c>
      <c r="M5" s="14" t="s">
        <v>241</v>
      </c>
      <c r="N5" s="14" t="s">
        <v>242</v>
      </c>
    </row>
    <row r="6" spans="1:14" ht="15" customHeight="1" x14ac:dyDescent="0.25">
      <c r="A6" s="2" t="s">
        <v>243</v>
      </c>
      <c r="B6" s="17">
        <v>35</v>
      </c>
      <c r="C6" s="17">
        <v>200</v>
      </c>
      <c r="D6" s="17">
        <v>200</v>
      </c>
      <c r="E6" s="17">
        <v>200</v>
      </c>
      <c r="F6" s="17">
        <v>200</v>
      </c>
      <c r="G6" s="17">
        <v>200</v>
      </c>
      <c r="H6" s="17">
        <v>200</v>
      </c>
      <c r="I6" s="17">
        <v>200</v>
      </c>
      <c r="J6" s="17">
        <v>200</v>
      </c>
      <c r="K6" s="17">
        <v>200</v>
      </c>
      <c r="L6" s="35">
        <f>SUM(B6:K6)</f>
        <v>1835</v>
      </c>
      <c r="M6" s="36">
        <f>L6/10</f>
        <v>183.5</v>
      </c>
      <c r="N6" s="37" t="s">
        <v>244</v>
      </c>
    </row>
    <row r="7" spans="1:14" ht="15" customHeight="1" x14ac:dyDescent="0.25">
      <c r="A7" s="2" t="s">
        <v>245</v>
      </c>
      <c r="B7" s="17">
        <v>35</v>
      </c>
      <c r="C7" s="17">
        <v>500</v>
      </c>
      <c r="D7" s="17">
        <v>500</v>
      </c>
      <c r="E7" s="17">
        <v>500</v>
      </c>
      <c r="F7" s="17">
        <v>500</v>
      </c>
      <c r="G7" s="17">
        <v>500</v>
      </c>
      <c r="H7" s="17">
        <v>500</v>
      </c>
      <c r="I7" s="17">
        <v>500</v>
      </c>
      <c r="J7" s="17">
        <v>500</v>
      </c>
      <c r="K7" s="17">
        <v>500</v>
      </c>
      <c r="L7" s="35">
        <f>SUM(B7:K7)</f>
        <v>4535</v>
      </c>
      <c r="M7" s="36">
        <f>L7/10</f>
        <v>453.5</v>
      </c>
      <c r="N7" s="37" t="s">
        <v>246</v>
      </c>
    </row>
    <row r="8" spans="1:14" ht="15" customHeight="1" x14ac:dyDescent="0.25">
      <c r="A8" s="2" t="s">
        <v>247</v>
      </c>
      <c r="B8" s="35">
        <f>B6</f>
        <v>35</v>
      </c>
      <c r="C8" s="35">
        <f t="shared" ref="C8:K8" si="0">B8+C6</f>
        <v>235</v>
      </c>
      <c r="D8" s="35">
        <f t="shared" si="0"/>
        <v>435</v>
      </c>
      <c r="E8" s="35">
        <f t="shared" si="0"/>
        <v>635</v>
      </c>
      <c r="F8" s="35">
        <f t="shared" si="0"/>
        <v>835</v>
      </c>
      <c r="G8" s="35">
        <f t="shared" si="0"/>
        <v>1035</v>
      </c>
      <c r="H8" s="35">
        <f t="shared" si="0"/>
        <v>1235</v>
      </c>
      <c r="I8" s="35">
        <f t="shared" si="0"/>
        <v>1435</v>
      </c>
      <c r="J8" s="35">
        <f t="shared" si="0"/>
        <v>1635</v>
      </c>
      <c r="K8" s="35">
        <f t="shared" si="0"/>
        <v>1835</v>
      </c>
    </row>
    <row r="9" spans="1:14" ht="15" customHeight="1" x14ac:dyDescent="0.25">
      <c r="A9" s="2" t="s">
        <v>248</v>
      </c>
      <c r="B9" s="35">
        <f>B7</f>
        <v>35</v>
      </c>
      <c r="C9" s="35">
        <f t="shared" ref="C9:K9" si="1">B9+C7</f>
        <v>535</v>
      </c>
      <c r="D9" s="35">
        <f t="shared" si="1"/>
        <v>1035</v>
      </c>
      <c r="E9" s="35">
        <f t="shared" si="1"/>
        <v>1535</v>
      </c>
      <c r="F9" s="35">
        <f t="shared" si="1"/>
        <v>2035</v>
      </c>
      <c r="G9" s="35">
        <f t="shared" si="1"/>
        <v>2535</v>
      </c>
      <c r="H9" s="35">
        <f t="shared" si="1"/>
        <v>3035</v>
      </c>
      <c r="I9" s="35">
        <f t="shared" si="1"/>
        <v>3535</v>
      </c>
      <c r="J9" s="35">
        <f t="shared" si="1"/>
        <v>4035</v>
      </c>
      <c r="K9" s="35">
        <f t="shared" si="1"/>
        <v>4535</v>
      </c>
    </row>
    <row r="12" spans="1:14" ht="15" customHeight="1" x14ac:dyDescent="0.25">
      <c r="A12" s="72" t="s">
        <v>249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</row>
    <row r="13" spans="1:14" ht="15" customHeight="1" x14ac:dyDescent="0.25">
      <c r="A13" s="14" t="s">
        <v>250</v>
      </c>
      <c r="B13" s="14" t="s">
        <v>230</v>
      </c>
      <c r="C13" s="14" t="s">
        <v>231</v>
      </c>
      <c r="D13" s="14" t="s">
        <v>232</v>
      </c>
      <c r="E13" s="14" t="s">
        <v>233</v>
      </c>
      <c r="F13" s="14" t="s">
        <v>234</v>
      </c>
      <c r="G13" s="14" t="s">
        <v>235</v>
      </c>
      <c r="H13" s="14" t="s">
        <v>236</v>
      </c>
      <c r="I13" s="14" t="s">
        <v>237</v>
      </c>
      <c r="J13" s="14" t="s">
        <v>238</v>
      </c>
      <c r="K13" s="14" t="s">
        <v>239</v>
      </c>
      <c r="L13" s="14" t="s">
        <v>251</v>
      </c>
      <c r="M13" s="14" t="s">
        <v>252</v>
      </c>
      <c r="N13" s="14" t="s">
        <v>242</v>
      </c>
    </row>
    <row r="14" spans="1:14" ht="15" customHeight="1" x14ac:dyDescent="0.25">
      <c r="A14" s="2" t="s">
        <v>253</v>
      </c>
      <c r="B14" s="38">
        <f t="shared" ref="B14:K14" si="2">B6</f>
        <v>35</v>
      </c>
      <c r="C14" s="38">
        <f t="shared" si="2"/>
        <v>200</v>
      </c>
      <c r="D14" s="38">
        <f t="shared" si="2"/>
        <v>200</v>
      </c>
      <c r="E14" s="38">
        <f t="shared" si="2"/>
        <v>200</v>
      </c>
      <c r="F14" s="38">
        <f t="shared" si="2"/>
        <v>200</v>
      </c>
      <c r="G14" s="38">
        <f t="shared" si="2"/>
        <v>200</v>
      </c>
      <c r="H14" s="38">
        <f t="shared" si="2"/>
        <v>200</v>
      </c>
      <c r="I14" s="38">
        <f t="shared" si="2"/>
        <v>200</v>
      </c>
      <c r="J14" s="38">
        <f t="shared" si="2"/>
        <v>200</v>
      </c>
      <c r="K14" s="38">
        <f t="shared" si="2"/>
        <v>200</v>
      </c>
      <c r="L14" s="39" t="s">
        <v>208</v>
      </c>
      <c r="M14" s="39" t="s">
        <v>208</v>
      </c>
      <c r="N14" s="40" t="s">
        <v>254</v>
      </c>
    </row>
    <row r="15" spans="1:14" ht="15" customHeight="1" x14ac:dyDescent="0.25">
      <c r="A15" s="2" t="s">
        <v>255</v>
      </c>
      <c r="B15" s="41">
        <f>'1_Assumptions'!B30</f>
        <v>248400</v>
      </c>
      <c r="C15" s="41">
        <f>'1_Assumptions'!B30</f>
        <v>248400</v>
      </c>
      <c r="D15" s="41">
        <f>'1_Assumptions'!B30</f>
        <v>248400</v>
      </c>
      <c r="E15" s="41">
        <f>'1_Assumptions'!B30</f>
        <v>248400</v>
      </c>
      <c r="F15" s="41">
        <f>'1_Assumptions'!B30</f>
        <v>248400</v>
      </c>
      <c r="G15" s="41">
        <f>'1_Assumptions'!B30</f>
        <v>248400</v>
      </c>
      <c r="H15" s="41">
        <f>'1_Assumptions'!B30</f>
        <v>248400</v>
      </c>
      <c r="I15" s="41">
        <f>'1_Assumptions'!B30</f>
        <v>248400</v>
      </c>
      <c r="J15" s="41">
        <f>'1_Assumptions'!B30</f>
        <v>248400</v>
      </c>
      <c r="K15" s="41">
        <f>'1_Assumptions'!B30</f>
        <v>248400</v>
      </c>
      <c r="L15" s="39" t="s">
        <v>208</v>
      </c>
      <c r="M15" s="39" t="s">
        <v>208</v>
      </c>
      <c r="N15" s="40" t="s">
        <v>256</v>
      </c>
    </row>
    <row r="16" spans="1:14" ht="15" customHeight="1" x14ac:dyDescent="0.25">
      <c r="A16" s="2" t="s">
        <v>257</v>
      </c>
      <c r="B16" s="21">
        <f>B15*(1+'1_Assumptions'!B31)^(1-1)</f>
        <v>248400</v>
      </c>
      <c r="C16" s="21">
        <f>C15*(1+'1_Assumptions'!B31)^(2-1)</f>
        <v>260820</v>
      </c>
      <c r="D16" s="21">
        <f>D15*(1+'1_Assumptions'!B31)^(3-1)</f>
        <v>273861</v>
      </c>
      <c r="E16" s="21">
        <f>E15*(1+'1_Assumptions'!B31)^(4-1)</f>
        <v>287554.05000000005</v>
      </c>
      <c r="F16" s="21">
        <f>F15*(1+'1_Assumptions'!B31)^(5-1)</f>
        <v>301931.7525</v>
      </c>
      <c r="G16" s="21">
        <f>G15*(1+'1_Assumptions'!B31)^(6-1)</f>
        <v>317028.34012500005</v>
      </c>
      <c r="H16" s="21">
        <f>H15*(1+'1_Assumptions'!B31)^(7-1)</f>
        <v>332879.75713124999</v>
      </c>
      <c r="I16" s="21">
        <f>I15*(1+'1_Assumptions'!B31)^(8-1)</f>
        <v>349523.74498781253</v>
      </c>
      <c r="J16" s="21">
        <f>J15*(1+'1_Assumptions'!B31)^(9-1)</f>
        <v>366999.93223720312</v>
      </c>
      <c r="K16" s="21">
        <f>K15*(1+'1_Assumptions'!B31)^(10-1)</f>
        <v>385349.92884906335</v>
      </c>
      <c r="L16" s="39" t="s">
        <v>208</v>
      </c>
      <c r="M16" s="39" t="s">
        <v>208</v>
      </c>
      <c r="N16" s="4" t="s">
        <v>258</v>
      </c>
    </row>
    <row r="17" spans="1:14" ht="15" customHeight="1" x14ac:dyDescent="0.25">
      <c r="A17" s="2" t="s">
        <v>259</v>
      </c>
      <c r="B17" s="42">
        <f t="shared" ref="B17:K17" si="3">B14*B16/100000</f>
        <v>86.94</v>
      </c>
      <c r="C17" s="42">
        <f t="shared" si="3"/>
        <v>521.64</v>
      </c>
      <c r="D17" s="42">
        <f t="shared" si="3"/>
        <v>547.72199999999998</v>
      </c>
      <c r="E17" s="42">
        <f t="shared" si="3"/>
        <v>575.10810000000004</v>
      </c>
      <c r="F17" s="42">
        <f t="shared" si="3"/>
        <v>603.86350500000003</v>
      </c>
      <c r="G17" s="42">
        <f t="shared" si="3"/>
        <v>634.05668025000011</v>
      </c>
      <c r="H17" s="42">
        <f t="shared" si="3"/>
        <v>665.75951426249992</v>
      </c>
      <c r="I17" s="42">
        <f t="shared" si="3"/>
        <v>699.04748997562513</v>
      </c>
      <c r="J17" s="42">
        <f t="shared" si="3"/>
        <v>733.99986447440619</v>
      </c>
      <c r="K17" s="42">
        <f t="shared" si="3"/>
        <v>770.69985769812672</v>
      </c>
      <c r="L17" s="43">
        <f>SUM(B17:K17)</f>
        <v>5838.8370116606593</v>
      </c>
      <c r="M17" s="42">
        <f>L17/10</f>
        <v>583.88370116606598</v>
      </c>
      <c r="N17" s="4" t="s">
        <v>258</v>
      </c>
    </row>
    <row r="18" spans="1:14" ht="15" customHeight="1" x14ac:dyDescent="0.25">
      <c r="A18" s="2" t="s">
        <v>260</v>
      </c>
      <c r="B18" s="42">
        <f>B14*'1_Assumptions'!B28/100000</f>
        <v>7.84</v>
      </c>
      <c r="C18" s="42">
        <f>C14*'1_Assumptions'!B28/100000</f>
        <v>44.8</v>
      </c>
      <c r="D18" s="42">
        <f>D14*'1_Assumptions'!B28/100000</f>
        <v>44.8</v>
      </c>
      <c r="E18" s="42">
        <f>E14*'1_Assumptions'!B28/100000</f>
        <v>44.8</v>
      </c>
      <c r="F18" s="42">
        <f>F14*'1_Assumptions'!B28/100000</f>
        <v>44.8</v>
      </c>
      <c r="G18" s="42">
        <f>G14*'1_Assumptions'!B28/100000</f>
        <v>44.8</v>
      </c>
      <c r="H18" s="42">
        <f>H14*'1_Assumptions'!B28/100000</f>
        <v>44.8</v>
      </c>
      <c r="I18" s="42">
        <f>I14*'1_Assumptions'!B28/100000</f>
        <v>44.8</v>
      </c>
      <c r="J18" s="42">
        <f>J14*'1_Assumptions'!B28/100000</f>
        <v>44.8</v>
      </c>
      <c r="K18" s="42">
        <f>K14*'1_Assumptions'!B28/100000</f>
        <v>44.8</v>
      </c>
      <c r="L18" s="43">
        <f>SUM(B18:K18)</f>
        <v>411.04000000000008</v>
      </c>
      <c r="M18" s="42">
        <f>L18/10</f>
        <v>41.104000000000006</v>
      </c>
      <c r="N18" s="4" t="s">
        <v>258</v>
      </c>
    </row>
    <row r="19" spans="1:14" ht="15" customHeight="1" x14ac:dyDescent="0.25">
      <c r="A19" s="2" t="s">
        <v>261</v>
      </c>
      <c r="B19" s="42">
        <f>B8*'1_Assumptions'!B29/100000</f>
        <v>3.15</v>
      </c>
      <c r="C19" s="42">
        <f>C8*'1_Assumptions'!B29/100000</f>
        <v>21.15</v>
      </c>
      <c r="D19" s="42">
        <f>D8*'1_Assumptions'!B29/100000</f>
        <v>39.15</v>
      </c>
      <c r="E19" s="42">
        <f>E8*'1_Assumptions'!B29/100000</f>
        <v>57.15</v>
      </c>
      <c r="F19" s="42">
        <f>F8*'1_Assumptions'!B29/100000</f>
        <v>75.150000000000006</v>
      </c>
      <c r="G19" s="42">
        <f>G8*'1_Assumptions'!B29/100000</f>
        <v>93.15</v>
      </c>
      <c r="H19" s="42">
        <f>H8*'1_Assumptions'!B29/100000</f>
        <v>111.15</v>
      </c>
      <c r="I19" s="42">
        <f>I8*'1_Assumptions'!B29/100000</f>
        <v>129.15</v>
      </c>
      <c r="J19" s="42">
        <f>J8*'1_Assumptions'!B29/100000</f>
        <v>147.15</v>
      </c>
      <c r="K19" s="42">
        <f>K8*'1_Assumptions'!B29/100000</f>
        <v>165.15</v>
      </c>
      <c r="L19" s="43">
        <f>SUM(B19:K19)</f>
        <v>841.49999999999989</v>
      </c>
      <c r="M19" s="42">
        <f>L19/10</f>
        <v>84.149999999999991</v>
      </c>
      <c r="N19" s="4" t="s">
        <v>258</v>
      </c>
    </row>
    <row r="20" spans="1:14" ht="15" customHeight="1" x14ac:dyDescent="0.25">
      <c r="A20" s="2" t="s">
        <v>262</v>
      </c>
      <c r="B20" s="42">
        <f>'1_Assumptions'!B64*1*(1+'1_Assumptions'!B31)^(1-1)</f>
        <v>79.332999999999998</v>
      </c>
      <c r="C20" s="42">
        <f>'1_Assumptions'!B64*1*(1+'1_Assumptions'!B31)^(2-1)</f>
        <v>83.29965</v>
      </c>
      <c r="D20" s="42">
        <f>'1_Assumptions'!B64*1*(1+'1_Assumptions'!B31)^(3-1)</f>
        <v>87.464632500000008</v>
      </c>
      <c r="E20" s="42">
        <f>'1_Assumptions'!B64*1*(1+'1_Assumptions'!B31)^(4-1)</f>
        <v>91.83786412500001</v>
      </c>
      <c r="F20" s="42">
        <f>'1_Assumptions'!B64*1*(1+'1_Assumptions'!B31)^(5-1)</f>
        <v>96.429757331250002</v>
      </c>
      <c r="G20" s="42">
        <f>'1_Assumptions'!B64*1*(1+'1_Assumptions'!B31)^(6-1)</f>
        <v>101.25124519781251</v>
      </c>
      <c r="H20" s="42">
        <f>'1_Assumptions'!B64*1*(1+'1_Assumptions'!B31)^(7-1)</f>
        <v>106.31380745770312</v>
      </c>
      <c r="I20" s="42">
        <f>'1_Assumptions'!B64*1*(1+'1_Assumptions'!B31)^(8-1)</f>
        <v>111.62949783058829</v>
      </c>
      <c r="J20" s="42">
        <f>'1_Assumptions'!B64*1*(1+'1_Assumptions'!B31)^(9-1)</f>
        <v>117.2109727221177</v>
      </c>
      <c r="K20" s="42">
        <f>'1_Assumptions'!B64*1*(1+'1_Assumptions'!B31)^(10-1)</f>
        <v>123.07152135822359</v>
      </c>
      <c r="L20" s="43">
        <f>SUM(B20:K20)</f>
        <v>997.84194852269525</v>
      </c>
      <c r="M20" s="42">
        <f>L20/10</f>
        <v>99.784194852269522</v>
      </c>
      <c r="N20" s="40" t="s">
        <v>263</v>
      </c>
    </row>
    <row r="21" spans="1:14" ht="15" customHeight="1" x14ac:dyDescent="0.25">
      <c r="A21" s="2" t="s">
        <v>264</v>
      </c>
      <c r="B21" s="44">
        <f t="shared" ref="B21:K21" si="4">B17+B18+B19+B20</f>
        <v>177.26300000000001</v>
      </c>
      <c r="C21" s="44">
        <f t="shared" si="4"/>
        <v>670.88964999999996</v>
      </c>
      <c r="D21" s="44">
        <f t="shared" si="4"/>
        <v>719.13663249999991</v>
      </c>
      <c r="E21" s="44">
        <f t="shared" si="4"/>
        <v>768.89596412499998</v>
      </c>
      <c r="F21" s="44">
        <f t="shared" si="4"/>
        <v>820.24326233124998</v>
      </c>
      <c r="G21" s="44">
        <f t="shared" si="4"/>
        <v>873.25792544781257</v>
      </c>
      <c r="H21" s="44">
        <f t="shared" si="4"/>
        <v>928.02332172020294</v>
      </c>
      <c r="I21" s="44">
        <f t="shared" si="4"/>
        <v>984.62698780621338</v>
      </c>
      <c r="J21" s="44">
        <f t="shared" si="4"/>
        <v>1043.1608371965237</v>
      </c>
      <c r="K21" s="44">
        <f t="shared" si="4"/>
        <v>1103.7213790563503</v>
      </c>
      <c r="L21" s="43">
        <f>SUM(B21:K21)</f>
        <v>8089.2189601833525</v>
      </c>
      <c r="M21" s="42">
        <f>L21/10</f>
        <v>808.92189601833525</v>
      </c>
      <c r="N21" s="40" t="s">
        <v>265</v>
      </c>
    </row>
    <row r="22" spans="1:14" ht="15" customHeight="1" x14ac:dyDescent="0.25">
      <c r="A22" s="2" t="s">
        <v>266</v>
      </c>
      <c r="B22" s="45">
        <f>B21</f>
        <v>177.26300000000001</v>
      </c>
      <c r="C22" s="45">
        <f t="shared" ref="C22:K22" si="5">B22+C21</f>
        <v>848.15264999999999</v>
      </c>
      <c r="D22" s="45">
        <f t="shared" si="5"/>
        <v>1567.2892824999999</v>
      </c>
      <c r="E22" s="45">
        <f t="shared" si="5"/>
        <v>2336.1852466249998</v>
      </c>
      <c r="F22" s="45">
        <f t="shared" si="5"/>
        <v>3156.42850895625</v>
      </c>
      <c r="G22" s="45">
        <f t="shared" si="5"/>
        <v>4029.6864344040623</v>
      </c>
      <c r="H22" s="45">
        <f t="shared" si="5"/>
        <v>4957.7097561242654</v>
      </c>
      <c r="I22" s="45">
        <f t="shared" si="5"/>
        <v>5942.3367439304784</v>
      </c>
      <c r="J22" s="45">
        <f t="shared" si="5"/>
        <v>6985.4975811270024</v>
      </c>
      <c r="K22" s="45">
        <f t="shared" si="5"/>
        <v>8089.2189601833525</v>
      </c>
      <c r="L22" s="46" t="s">
        <v>208</v>
      </c>
      <c r="M22" s="39" t="s">
        <v>208</v>
      </c>
      <c r="N22" s="40" t="s">
        <v>267</v>
      </c>
    </row>
    <row r="23" spans="1:14" ht="15" customHeight="1" x14ac:dyDescent="0.25">
      <c r="A23" s="69" t="s">
        <v>268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37" t="s">
        <v>269</v>
      </c>
    </row>
    <row r="25" spans="1:14" ht="15" customHeight="1" x14ac:dyDescent="0.25">
      <c r="A25" s="72" t="s">
        <v>270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</row>
    <row r="26" spans="1:14" ht="15" customHeight="1" x14ac:dyDescent="0.25">
      <c r="A26" s="14" t="s">
        <v>250</v>
      </c>
      <c r="B26" s="14" t="s">
        <v>230</v>
      </c>
      <c r="C26" s="14" t="s">
        <v>231</v>
      </c>
      <c r="D26" s="14" t="s">
        <v>232</v>
      </c>
      <c r="E26" s="14" t="s">
        <v>233</v>
      </c>
      <c r="F26" s="14" t="s">
        <v>234</v>
      </c>
      <c r="G26" s="14" t="s">
        <v>235</v>
      </c>
      <c r="H26" s="14" t="s">
        <v>236</v>
      </c>
      <c r="I26" s="14" t="s">
        <v>237</v>
      </c>
      <c r="J26" s="14" t="s">
        <v>238</v>
      </c>
      <c r="K26" s="14" t="s">
        <v>239</v>
      </c>
      <c r="L26" s="14" t="s">
        <v>251</v>
      </c>
      <c r="M26" s="14" t="s">
        <v>252</v>
      </c>
      <c r="N26" s="14" t="s">
        <v>242</v>
      </c>
    </row>
    <row r="27" spans="1:14" ht="15" customHeight="1" x14ac:dyDescent="0.25">
      <c r="A27" s="2" t="s">
        <v>253</v>
      </c>
      <c r="B27" s="38">
        <f t="shared" ref="B27:K27" si="6">B7</f>
        <v>35</v>
      </c>
      <c r="C27" s="38">
        <f t="shared" si="6"/>
        <v>500</v>
      </c>
      <c r="D27" s="38">
        <f t="shared" si="6"/>
        <v>500</v>
      </c>
      <c r="E27" s="38">
        <f t="shared" si="6"/>
        <v>500</v>
      </c>
      <c r="F27" s="38">
        <f t="shared" si="6"/>
        <v>500</v>
      </c>
      <c r="G27" s="38">
        <f t="shared" si="6"/>
        <v>500</v>
      </c>
      <c r="H27" s="38">
        <f t="shared" si="6"/>
        <v>500</v>
      </c>
      <c r="I27" s="38">
        <f t="shared" si="6"/>
        <v>500</v>
      </c>
      <c r="J27" s="38">
        <f t="shared" si="6"/>
        <v>500</v>
      </c>
      <c r="K27" s="38">
        <f t="shared" si="6"/>
        <v>500</v>
      </c>
      <c r="L27" s="39" t="s">
        <v>208</v>
      </c>
      <c r="M27" s="39" t="s">
        <v>208</v>
      </c>
      <c r="N27" s="40" t="s">
        <v>254</v>
      </c>
    </row>
    <row r="28" spans="1:14" ht="15" customHeight="1" x14ac:dyDescent="0.25">
      <c r="A28" s="2" t="s">
        <v>255</v>
      </c>
      <c r="B28" s="41">
        <f>'1_Assumptions'!B30</f>
        <v>248400</v>
      </c>
      <c r="C28" s="41">
        <f>'1_Assumptions'!B30</f>
        <v>248400</v>
      </c>
      <c r="D28" s="41">
        <f>'1_Assumptions'!B30</f>
        <v>248400</v>
      </c>
      <c r="E28" s="41">
        <f>'1_Assumptions'!B30</f>
        <v>248400</v>
      </c>
      <c r="F28" s="41">
        <f>'1_Assumptions'!B30</f>
        <v>248400</v>
      </c>
      <c r="G28" s="41">
        <f>'1_Assumptions'!B30</f>
        <v>248400</v>
      </c>
      <c r="H28" s="41">
        <f>'1_Assumptions'!B30</f>
        <v>248400</v>
      </c>
      <c r="I28" s="41">
        <f>'1_Assumptions'!B30</f>
        <v>248400</v>
      </c>
      <c r="J28" s="41">
        <f>'1_Assumptions'!B30</f>
        <v>248400</v>
      </c>
      <c r="K28" s="41">
        <f>'1_Assumptions'!B30</f>
        <v>248400</v>
      </c>
      <c r="L28" s="39" t="s">
        <v>208</v>
      </c>
      <c r="M28" s="39" t="s">
        <v>208</v>
      </c>
      <c r="N28" s="40" t="s">
        <v>256</v>
      </c>
    </row>
    <row r="29" spans="1:14" ht="15" customHeight="1" x14ac:dyDescent="0.25">
      <c r="A29" s="2" t="s">
        <v>257</v>
      </c>
      <c r="B29" s="21">
        <f>B28*(1+'1_Assumptions'!B31)^(1-1)</f>
        <v>248400</v>
      </c>
      <c r="C29" s="21">
        <f>C28*(1+'1_Assumptions'!B31)^(2-1)</f>
        <v>260820</v>
      </c>
      <c r="D29" s="21">
        <f>D28*(1+'1_Assumptions'!B31)^(3-1)</f>
        <v>273861</v>
      </c>
      <c r="E29" s="21">
        <f>E28*(1+'1_Assumptions'!B31)^(4-1)</f>
        <v>287554.05000000005</v>
      </c>
      <c r="F29" s="21">
        <f>F28*(1+'1_Assumptions'!B31)^(5-1)</f>
        <v>301931.7525</v>
      </c>
      <c r="G29" s="21">
        <f>G28*(1+'1_Assumptions'!B31)^(6-1)</f>
        <v>317028.34012500005</v>
      </c>
      <c r="H29" s="21">
        <f>H28*(1+'1_Assumptions'!B31)^(7-1)</f>
        <v>332879.75713124999</v>
      </c>
      <c r="I29" s="21">
        <f>I28*(1+'1_Assumptions'!B31)^(8-1)</f>
        <v>349523.74498781253</v>
      </c>
      <c r="J29" s="21">
        <f>J28*(1+'1_Assumptions'!B31)^(9-1)</f>
        <v>366999.93223720312</v>
      </c>
      <c r="K29" s="21">
        <f>K28*(1+'1_Assumptions'!B31)^(10-1)</f>
        <v>385349.92884906335</v>
      </c>
      <c r="L29" s="39" t="s">
        <v>208</v>
      </c>
      <c r="M29" s="39" t="s">
        <v>208</v>
      </c>
      <c r="N29" s="4" t="s">
        <v>258</v>
      </c>
    </row>
    <row r="30" spans="1:14" ht="15" customHeight="1" x14ac:dyDescent="0.25">
      <c r="A30" s="2" t="s">
        <v>259</v>
      </c>
      <c r="B30" s="42">
        <f t="shared" ref="B30:K30" si="7">B27*B29/100000</f>
        <v>86.94</v>
      </c>
      <c r="C30" s="42">
        <f t="shared" si="7"/>
        <v>1304.0999999999999</v>
      </c>
      <c r="D30" s="42">
        <f t="shared" si="7"/>
        <v>1369.3050000000001</v>
      </c>
      <c r="E30" s="42">
        <f t="shared" si="7"/>
        <v>1437.7702500000003</v>
      </c>
      <c r="F30" s="42">
        <f t="shared" si="7"/>
        <v>1509.6587625</v>
      </c>
      <c r="G30" s="42">
        <f t="shared" si="7"/>
        <v>1585.1417006250003</v>
      </c>
      <c r="H30" s="42">
        <f t="shared" si="7"/>
        <v>1664.3987856562499</v>
      </c>
      <c r="I30" s="42">
        <f t="shared" si="7"/>
        <v>1747.6187249390625</v>
      </c>
      <c r="J30" s="42">
        <f t="shared" si="7"/>
        <v>1834.9996611860156</v>
      </c>
      <c r="K30" s="42">
        <f t="shared" si="7"/>
        <v>1926.7496442453166</v>
      </c>
      <c r="L30" s="43">
        <f>SUM(B30:K30)</f>
        <v>14466.682529151647</v>
      </c>
      <c r="M30" s="42">
        <f>L30/10</f>
        <v>1446.6682529151647</v>
      </c>
      <c r="N30" s="4" t="s">
        <v>258</v>
      </c>
    </row>
    <row r="31" spans="1:14" ht="15" customHeight="1" x14ac:dyDescent="0.25">
      <c r="A31" s="2" t="s">
        <v>260</v>
      </c>
      <c r="B31" s="42">
        <f>B27*'1_Assumptions'!B28/100000</f>
        <v>7.84</v>
      </c>
      <c r="C31" s="42">
        <f>C27*'1_Assumptions'!B28/100000</f>
        <v>112</v>
      </c>
      <c r="D31" s="42">
        <f>D27*'1_Assumptions'!B28/100000</f>
        <v>112</v>
      </c>
      <c r="E31" s="42">
        <f>E27*'1_Assumptions'!B28/100000</f>
        <v>112</v>
      </c>
      <c r="F31" s="42">
        <f>F27*'1_Assumptions'!B28/100000</f>
        <v>112</v>
      </c>
      <c r="G31" s="42">
        <f>G27*'1_Assumptions'!B28/100000</f>
        <v>112</v>
      </c>
      <c r="H31" s="42">
        <f>H27*'1_Assumptions'!B28/100000</f>
        <v>112</v>
      </c>
      <c r="I31" s="42">
        <f>I27*'1_Assumptions'!B28/100000</f>
        <v>112</v>
      </c>
      <c r="J31" s="42">
        <f>J27*'1_Assumptions'!B28/100000</f>
        <v>112</v>
      </c>
      <c r="K31" s="42">
        <f>K27*'1_Assumptions'!B28/100000</f>
        <v>112</v>
      </c>
      <c r="L31" s="43">
        <f>SUM(B31:K31)</f>
        <v>1015.84</v>
      </c>
      <c r="M31" s="42">
        <f>L31/10</f>
        <v>101.584</v>
      </c>
      <c r="N31" s="4" t="s">
        <v>258</v>
      </c>
    </row>
    <row r="32" spans="1:14" ht="15" customHeight="1" x14ac:dyDescent="0.25">
      <c r="A32" s="2" t="s">
        <v>261</v>
      </c>
      <c r="B32" s="42">
        <f>B9*'1_Assumptions'!B29/100000</f>
        <v>3.15</v>
      </c>
      <c r="C32" s="42">
        <f>C9*'1_Assumptions'!B29/100000</f>
        <v>48.15</v>
      </c>
      <c r="D32" s="42">
        <f>D9*'1_Assumptions'!B29/100000</f>
        <v>93.15</v>
      </c>
      <c r="E32" s="42">
        <f>E9*'1_Assumptions'!B29/100000</f>
        <v>138.15</v>
      </c>
      <c r="F32" s="42">
        <f>F9*'1_Assumptions'!B29/100000</f>
        <v>183.15</v>
      </c>
      <c r="G32" s="42">
        <f>G9*'1_Assumptions'!B29/100000</f>
        <v>228.15</v>
      </c>
      <c r="H32" s="42">
        <f>H9*'1_Assumptions'!B29/100000</f>
        <v>273.14999999999998</v>
      </c>
      <c r="I32" s="42">
        <f>I9*'1_Assumptions'!B29/100000</f>
        <v>318.14999999999998</v>
      </c>
      <c r="J32" s="42">
        <f>J9*'1_Assumptions'!B29/100000</f>
        <v>363.15</v>
      </c>
      <c r="K32" s="42">
        <f>K9*'1_Assumptions'!B29/100000</f>
        <v>408.15</v>
      </c>
      <c r="L32" s="43">
        <f>SUM(B32:K32)</f>
        <v>2056.5</v>
      </c>
      <c r="M32" s="42">
        <f>L32/10</f>
        <v>205.65</v>
      </c>
      <c r="N32" s="4" t="s">
        <v>258</v>
      </c>
    </row>
    <row r="33" spans="1:14" ht="15" customHeight="1" x14ac:dyDescent="0.25">
      <c r="A33" s="2" t="s">
        <v>262</v>
      </c>
      <c r="B33" s="42">
        <f>'1_Assumptions'!B64*2.5*(1+'1_Assumptions'!B31)^(1-1)</f>
        <v>198.33249999999998</v>
      </c>
      <c r="C33" s="42">
        <f>'1_Assumptions'!B64*2.5*(1+'1_Assumptions'!B31)^(2-1)</f>
        <v>208.24912499999999</v>
      </c>
      <c r="D33" s="42">
        <f>'1_Assumptions'!B64*2.5*(1+'1_Assumptions'!B31)^(3-1)</f>
        <v>218.66158124999998</v>
      </c>
      <c r="E33" s="42">
        <f>'1_Assumptions'!B64*2.5*(1+'1_Assumptions'!B31)^(4-1)</f>
        <v>229.5946603125</v>
      </c>
      <c r="F33" s="42">
        <f>'1_Assumptions'!B64*2.5*(1+'1_Assumptions'!B31)^(5-1)</f>
        <v>241.07439332812498</v>
      </c>
      <c r="G33" s="42">
        <f>'1_Assumptions'!B64*2.5*(1+'1_Assumptions'!B31)^(6-1)</f>
        <v>253.12811299453125</v>
      </c>
      <c r="H33" s="42">
        <f>'1_Assumptions'!B64*2.5*(1+'1_Assumptions'!B31)^(7-1)</f>
        <v>265.78451864425779</v>
      </c>
      <c r="I33" s="42">
        <f>'1_Assumptions'!B64*2.5*(1+'1_Assumptions'!B31)^(8-1)</f>
        <v>279.07374457647074</v>
      </c>
      <c r="J33" s="42">
        <f>'1_Assumptions'!B64*2.5*(1+'1_Assumptions'!B31)^(9-1)</f>
        <v>293.02743180529421</v>
      </c>
      <c r="K33" s="42">
        <f>'1_Assumptions'!B64*2.5*(1+'1_Assumptions'!B31)^(10-1)</f>
        <v>307.67880339555893</v>
      </c>
      <c r="L33" s="43">
        <f>SUM(B33:K33)</f>
        <v>2494.604871306738</v>
      </c>
      <c r="M33" s="42">
        <f>L33/10</f>
        <v>249.46048713067381</v>
      </c>
      <c r="N33" s="40" t="s">
        <v>263</v>
      </c>
    </row>
    <row r="34" spans="1:14" ht="15" customHeight="1" x14ac:dyDescent="0.25">
      <c r="A34" s="2" t="s">
        <v>264</v>
      </c>
      <c r="B34" s="44">
        <f t="shared" ref="B34:K34" si="8">B30+B31+B32+B33</f>
        <v>296.26249999999999</v>
      </c>
      <c r="C34" s="44">
        <f t="shared" si="8"/>
        <v>1672.499125</v>
      </c>
      <c r="D34" s="44">
        <f t="shared" si="8"/>
        <v>1793.1165812500001</v>
      </c>
      <c r="E34" s="44">
        <f t="shared" si="8"/>
        <v>1917.5149103125004</v>
      </c>
      <c r="F34" s="44">
        <f t="shared" si="8"/>
        <v>2045.8831558281249</v>
      </c>
      <c r="G34" s="44">
        <f t="shared" si="8"/>
        <v>2178.4198136195319</v>
      </c>
      <c r="H34" s="44">
        <f t="shared" si="8"/>
        <v>2315.3333043005077</v>
      </c>
      <c r="I34" s="44">
        <f t="shared" si="8"/>
        <v>2456.8424695155331</v>
      </c>
      <c r="J34" s="44">
        <f t="shared" si="8"/>
        <v>2603.17709299131</v>
      </c>
      <c r="K34" s="44">
        <f t="shared" si="8"/>
        <v>2754.5784476408758</v>
      </c>
      <c r="L34" s="43">
        <f>SUM(B34:K34)</f>
        <v>20033.627400458387</v>
      </c>
      <c r="M34" s="42">
        <f>L34/10</f>
        <v>2003.3627400458386</v>
      </c>
      <c r="N34" s="40" t="s">
        <v>265</v>
      </c>
    </row>
    <row r="35" spans="1:14" ht="15" customHeight="1" x14ac:dyDescent="0.25">
      <c r="A35" s="2" t="s">
        <v>266</v>
      </c>
      <c r="B35" s="45">
        <f>B34</f>
        <v>296.26249999999999</v>
      </c>
      <c r="C35" s="45">
        <f t="shared" ref="C35:K35" si="9">B35+C34</f>
        <v>1968.7616250000001</v>
      </c>
      <c r="D35" s="45">
        <f t="shared" si="9"/>
        <v>3761.8782062500004</v>
      </c>
      <c r="E35" s="45">
        <f t="shared" si="9"/>
        <v>5679.3931165625008</v>
      </c>
      <c r="F35" s="45">
        <f t="shared" si="9"/>
        <v>7725.2762723906253</v>
      </c>
      <c r="G35" s="45">
        <f t="shared" si="9"/>
        <v>9903.6960860101572</v>
      </c>
      <c r="H35" s="45">
        <f t="shared" si="9"/>
        <v>12219.029390310665</v>
      </c>
      <c r="I35" s="45">
        <f t="shared" si="9"/>
        <v>14675.871859826198</v>
      </c>
      <c r="J35" s="45">
        <f t="shared" si="9"/>
        <v>17279.048952817509</v>
      </c>
      <c r="K35" s="45">
        <f t="shared" si="9"/>
        <v>20033.627400458387</v>
      </c>
      <c r="L35" s="46" t="s">
        <v>208</v>
      </c>
      <c r="M35" s="39" t="s">
        <v>208</v>
      </c>
      <c r="N35" s="40" t="s">
        <v>267</v>
      </c>
    </row>
    <row r="36" spans="1:14" ht="15" customHeight="1" x14ac:dyDescent="0.25">
      <c r="A36" s="69" t="s">
        <v>268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37" t="s">
        <v>269</v>
      </c>
    </row>
  </sheetData>
  <mergeCells count="7">
    <mergeCell ref="A25:N25"/>
    <mergeCell ref="A36:M36"/>
    <mergeCell ref="A1:N1"/>
    <mergeCell ref="A2:N2"/>
    <mergeCell ref="A4:N4"/>
    <mergeCell ref="A12:N12"/>
    <mergeCell ref="A23:M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topLeftCell="A18" zoomScaleNormal="100" workbookViewId="0">
      <selection activeCell="B34" sqref="B34"/>
    </sheetView>
  </sheetViews>
  <sheetFormatPr defaultColWidth="8.7109375" defaultRowHeight="15" x14ac:dyDescent="0.25"/>
  <cols>
    <col min="1" max="1" width="43.7109375" bestFit="1" customWidth="1"/>
    <col min="2" max="3" width="14" customWidth="1"/>
    <col min="4" max="11" width="16" customWidth="1"/>
    <col min="12" max="12" width="18" customWidth="1"/>
    <col min="13" max="13" width="20" customWidth="1"/>
  </cols>
  <sheetData>
    <row r="1" spans="1:13" ht="27.75" customHeight="1" x14ac:dyDescent="0.25">
      <c r="A1" s="70" t="s">
        <v>271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5" customHeight="1" x14ac:dyDescent="0.25">
      <c r="A2" s="71" t="s">
        <v>272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4" spans="1:13" ht="15" customHeight="1" x14ac:dyDescent="0.25">
      <c r="A4" s="72" t="s">
        <v>273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</row>
    <row r="5" spans="1:13" ht="15" customHeight="1" x14ac:dyDescent="0.25">
      <c r="A5" s="14" t="s">
        <v>274</v>
      </c>
      <c r="B5" s="14" t="s">
        <v>230</v>
      </c>
      <c r="C5" s="14" t="s">
        <v>231</v>
      </c>
      <c r="D5" s="14" t="s">
        <v>232</v>
      </c>
      <c r="E5" s="14" t="s">
        <v>233</v>
      </c>
      <c r="F5" s="14" t="s">
        <v>234</v>
      </c>
      <c r="G5" s="14" t="s">
        <v>235</v>
      </c>
      <c r="H5" s="14" t="s">
        <v>236</v>
      </c>
      <c r="I5" s="14" t="s">
        <v>237</v>
      </c>
      <c r="J5" s="14" t="s">
        <v>238</v>
      </c>
      <c r="K5" s="14" t="s">
        <v>239</v>
      </c>
      <c r="L5" s="14" t="s">
        <v>251</v>
      </c>
      <c r="M5" s="14" t="s">
        <v>242</v>
      </c>
    </row>
    <row r="6" spans="1:13" ht="21.75" customHeight="1" x14ac:dyDescent="0.25">
      <c r="A6" s="2" t="s">
        <v>275</v>
      </c>
      <c r="B6" s="38">
        <f>'3_CostProjections'!B8</f>
        <v>35</v>
      </c>
      <c r="C6" s="38">
        <f>'3_CostProjections'!C8</f>
        <v>235</v>
      </c>
      <c r="D6" s="38">
        <f>'3_CostProjections'!D8</f>
        <v>435</v>
      </c>
      <c r="E6" s="38">
        <f>'3_CostProjections'!E8</f>
        <v>635</v>
      </c>
      <c r="F6" s="38">
        <f>'3_CostProjections'!F8</f>
        <v>835</v>
      </c>
      <c r="G6" s="38">
        <f>'3_CostProjections'!G8</f>
        <v>1035</v>
      </c>
      <c r="H6" s="38">
        <f>'3_CostProjections'!H8</f>
        <v>1235</v>
      </c>
      <c r="I6" s="38">
        <f>'3_CostProjections'!I8</f>
        <v>1435</v>
      </c>
      <c r="J6" s="38">
        <f>'3_CostProjections'!J8</f>
        <v>1635</v>
      </c>
      <c r="K6" s="38">
        <f>'3_CostProjections'!K8</f>
        <v>1835</v>
      </c>
      <c r="L6" s="39" t="s">
        <v>208</v>
      </c>
      <c r="M6" s="4" t="s">
        <v>276</v>
      </c>
    </row>
    <row r="7" spans="1:13" ht="15" customHeight="1" x14ac:dyDescent="0.25">
      <c r="A7" s="2" t="s">
        <v>277</v>
      </c>
      <c r="B7" s="47">
        <f>0</f>
        <v>0</v>
      </c>
      <c r="C7" s="47">
        <f>0</f>
        <v>0</v>
      </c>
      <c r="D7" s="47">
        <f>B6*'1_Assumptions'!B17</f>
        <v>29.75</v>
      </c>
      <c r="E7" s="47">
        <f>C6*'1_Assumptions'!B17</f>
        <v>199.75</v>
      </c>
      <c r="F7" s="47">
        <f>D6*'1_Assumptions'!B17</f>
        <v>369.75</v>
      </c>
      <c r="G7" s="47">
        <f>E6*'1_Assumptions'!B17</f>
        <v>539.75</v>
      </c>
      <c r="H7" s="47">
        <f>F6*'1_Assumptions'!B17</f>
        <v>709.75</v>
      </c>
      <c r="I7" s="47">
        <f>G6*'1_Assumptions'!B17</f>
        <v>879.75</v>
      </c>
      <c r="J7" s="47">
        <f>H6*'1_Assumptions'!B17</f>
        <v>1049.75</v>
      </c>
      <c r="K7" s="47">
        <f>I6*'1_Assumptions'!B17</f>
        <v>1219.75</v>
      </c>
      <c r="L7" s="39" t="s">
        <v>208</v>
      </c>
      <c r="M7" s="4" t="s">
        <v>278</v>
      </c>
    </row>
    <row r="8" spans="1:13" ht="15" customHeight="1" x14ac:dyDescent="0.25">
      <c r="A8" s="2" t="s">
        <v>279</v>
      </c>
      <c r="B8" s="48">
        <f>'1_Assumptions'!B33</f>
        <v>22</v>
      </c>
      <c r="C8" s="48">
        <f>'1_Assumptions'!B33</f>
        <v>22</v>
      </c>
      <c r="D8" s="48">
        <f>'1_Assumptions'!B33</f>
        <v>22</v>
      </c>
      <c r="E8" s="48">
        <f>'1_Assumptions'!B33</f>
        <v>22</v>
      </c>
      <c r="F8" s="48">
        <f>'1_Assumptions'!B33</f>
        <v>22</v>
      </c>
      <c r="G8" s="48">
        <f>'1_Assumptions'!B33</f>
        <v>22</v>
      </c>
      <c r="H8" s="48">
        <f>'1_Assumptions'!B33</f>
        <v>22</v>
      </c>
      <c r="I8" s="48">
        <f>'1_Assumptions'!B33</f>
        <v>22</v>
      </c>
      <c r="J8" s="48">
        <f>'1_Assumptions'!B33</f>
        <v>22</v>
      </c>
      <c r="K8" s="48">
        <f>'1_Assumptions'!B33</f>
        <v>22</v>
      </c>
      <c r="L8" s="39" t="s">
        <v>208</v>
      </c>
      <c r="M8" s="4" t="s">
        <v>280</v>
      </c>
    </row>
    <row r="9" spans="1:13" ht="15" customHeight="1" x14ac:dyDescent="0.25">
      <c r="A9" s="2" t="s">
        <v>281</v>
      </c>
      <c r="B9" s="49">
        <f>MIN(B8*(1+'1_Assumptions'!B34)^(1-1),'1_Assumptions'!B35)</f>
        <v>22</v>
      </c>
      <c r="C9" s="49">
        <f>MIN(C8*(1+'1_Assumptions'!B34)^(2-1),'1_Assumptions'!B35)</f>
        <v>22.44</v>
      </c>
      <c r="D9" s="49">
        <f>MIN(D8*(1+'1_Assumptions'!B34)^(3-1),'1_Assumptions'!B35)</f>
        <v>22.8888</v>
      </c>
      <c r="E9" s="49">
        <f>MIN(E8*(1+'1_Assumptions'!B34)^(4-1),'1_Assumptions'!B35)</f>
        <v>23.346575999999999</v>
      </c>
      <c r="F9" s="49">
        <f>MIN(F8*(1+'1_Assumptions'!B34)^(5-1),'1_Assumptions'!B35)</f>
        <v>23.813507519999998</v>
      </c>
      <c r="G9" s="49">
        <f>MIN(G8*(1+'1_Assumptions'!B34)^(6-1),'1_Assumptions'!B35)</f>
        <v>24.289777670399999</v>
      </c>
      <c r="H9" s="49">
        <f>MIN(H8*(1+'1_Assumptions'!B34)^(7-1),'1_Assumptions'!B35)</f>
        <v>24.775573223808003</v>
      </c>
      <c r="I9" s="49">
        <f>MIN(I8*(1+'1_Assumptions'!B34)^(8-1),'1_Assumptions'!B35)</f>
        <v>25.271084688284155</v>
      </c>
      <c r="J9" s="49">
        <f>MIN(J8*(1+'1_Assumptions'!B34)^(9-1),'1_Assumptions'!B35)</f>
        <v>25.776506382049842</v>
      </c>
      <c r="K9" s="49">
        <f>MIN(K8*(1+'1_Assumptions'!B34)^(10-1),'1_Assumptions'!B35)</f>
        <v>26.292036509690838</v>
      </c>
      <c r="L9" s="39" t="s">
        <v>208</v>
      </c>
      <c r="M9" s="4" t="s">
        <v>282</v>
      </c>
    </row>
    <row r="10" spans="1:13" ht="15" customHeight="1" x14ac:dyDescent="0.25">
      <c r="A10" s="2" t="s">
        <v>283</v>
      </c>
      <c r="B10" s="47">
        <f t="shared" ref="B10:K10" si="0">ROUND(B7*B9,0)</f>
        <v>0</v>
      </c>
      <c r="C10" s="47">
        <f t="shared" si="0"/>
        <v>0</v>
      </c>
      <c r="D10" s="47">
        <f t="shared" si="0"/>
        <v>681</v>
      </c>
      <c r="E10" s="47">
        <f t="shared" si="0"/>
        <v>4663</v>
      </c>
      <c r="F10" s="47">
        <f t="shared" si="0"/>
        <v>8805</v>
      </c>
      <c r="G10" s="47">
        <f t="shared" si="0"/>
        <v>13110</v>
      </c>
      <c r="H10" s="47">
        <f t="shared" si="0"/>
        <v>17584</v>
      </c>
      <c r="I10" s="47">
        <f t="shared" si="0"/>
        <v>22232</v>
      </c>
      <c r="J10" s="47">
        <f t="shared" si="0"/>
        <v>27059</v>
      </c>
      <c r="K10" s="47">
        <f t="shared" si="0"/>
        <v>32070</v>
      </c>
      <c r="L10" s="50">
        <f>SUM(B10:K10)</f>
        <v>126204</v>
      </c>
      <c r="M10" s="4" t="s">
        <v>284</v>
      </c>
    </row>
    <row r="11" spans="1:13" ht="15" customHeight="1" x14ac:dyDescent="0.25">
      <c r="A11" s="2" t="s">
        <v>285</v>
      </c>
      <c r="B11" s="47">
        <f>ROUND(B10*'1_Assumptions'!B36,0)</f>
        <v>0</v>
      </c>
      <c r="C11" s="47">
        <f>ROUND(C10*'1_Assumptions'!B36,0)</f>
        <v>0</v>
      </c>
      <c r="D11" s="47">
        <f>ROUND(D10*'1_Assumptions'!B36,0)</f>
        <v>102</v>
      </c>
      <c r="E11" s="47">
        <f>ROUND(E10*'1_Assumptions'!B36,0)</f>
        <v>699</v>
      </c>
      <c r="F11" s="47">
        <f>ROUND(F10*'1_Assumptions'!B36,0)</f>
        <v>1321</v>
      </c>
      <c r="G11" s="47">
        <f>ROUND(G10*'1_Assumptions'!B36,0)</f>
        <v>1967</v>
      </c>
      <c r="H11" s="47">
        <f>ROUND(H10*'1_Assumptions'!B36,0)</f>
        <v>2638</v>
      </c>
      <c r="I11" s="47">
        <f>ROUND(I10*'1_Assumptions'!B36,0)</f>
        <v>3335</v>
      </c>
      <c r="J11" s="47">
        <f>ROUND(J10*'1_Assumptions'!B36,0)</f>
        <v>4059</v>
      </c>
      <c r="K11" s="47">
        <f>ROUND(K10*'1_Assumptions'!B36,0)</f>
        <v>4811</v>
      </c>
      <c r="L11" s="50">
        <f>SUM(B11:K11)</f>
        <v>18932</v>
      </c>
      <c r="M11" s="4" t="s">
        <v>286</v>
      </c>
    </row>
    <row r="12" spans="1:13" ht="15" customHeight="1" x14ac:dyDescent="0.25">
      <c r="A12" s="2" t="s">
        <v>287</v>
      </c>
      <c r="B12" s="51">
        <f t="shared" ref="B12:K12" si="1">B10-B11</f>
        <v>0</v>
      </c>
      <c r="C12" s="51">
        <f t="shared" si="1"/>
        <v>0</v>
      </c>
      <c r="D12" s="51">
        <f t="shared" si="1"/>
        <v>579</v>
      </c>
      <c r="E12" s="51">
        <f t="shared" si="1"/>
        <v>3964</v>
      </c>
      <c r="F12" s="51">
        <f t="shared" si="1"/>
        <v>7484</v>
      </c>
      <c r="G12" s="51">
        <f t="shared" si="1"/>
        <v>11143</v>
      </c>
      <c r="H12" s="51">
        <f t="shared" si="1"/>
        <v>14946</v>
      </c>
      <c r="I12" s="51">
        <f t="shared" si="1"/>
        <v>18897</v>
      </c>
      <c r="J12" s="51">
        <f t="shared" si="1"/>
        <v>23000</v>
      </c>
      <c r="K12" s="51">
        <f t="shared" si="1"/>
        <v>27259</v>
      </c>
      <c r="L12" s="50">
        <f>SUM(B12:K12)</f>
        <v>107272</v>
      </c>
      <c r="M12" s="4" t="s">
        <v>288</v>
      </c>
    </row>
    <row r="13" spans="1:13" ht="15" customHeight="1" x14ac:dyDescent="0.25">
      <c r="A13" s="2" t="s">
        <v>289</v>
      </c>
      <c r="B13" s="52">
        <f>'1_Assumptions'!B38*(1+'1_Assumptions'!B39)^(1-1)</f>
        <v>12</v>
      </c>
      <c r="C13" s="52">
        <f>'1_Assumptions'!B38*(1+'1_Assumptions'!B39)^(2-1)</f>
        <v>12.600000000000001</v>
      </c>
      <c r="D13" s="52">
        <f>'1_Assumptions'!B38*(1+'1_Assumptions'!B39)^(3-1)</f>
        <v>13.23</v>
      </c>
      <c r="E13" s="52">
        <f>'1_Assumptions'!B38*(1+'1_Assumptions'!B39)^(4-1)</f>
        <v>13.891500000000001</v>
      </c>
      <c r="F13" s="52">
        <f>'1_Assumptions'!B38*(1+'1_Assumptions'!B39)^(5-1)</f>
        <v>14.586075000000001</v>
      </c>
      <c r="G13" s="52">
        <f>'1_Assumptions'!B38*(1+'1_Assumptions'!B39)^(6-1)</f>
        <v>15.315378750000001</v>
      </c>
      <c r="H13" s="52">
        <f>'1_Assumptions'!B38*(1+'1_Assumptions'!B39)^(7-1)</f>
        <v>16.0811476875</v>
      </c>
      <c r="I13" s="52">
        <f>'1_Assumptions'!B38*(1+'1_Assumptions'!B39)^(8-1)</f>
        <v>16.885205071875003</v>
      </c>
      <c r="J13" s="52">
        <f>'1_Assumptions'!B38*(1+'1_Assumptions'!B39)^(9-1)</f>
        <v>17.729465325468752</v>
      </c>
      <c r="K13" s="52">
        <f>'1_Assumptions'!B38*(1+'1_Assumptions'!B39)^(10-1)</f>
        <v>18.615938591742189</v>
      </c>
      <c r="L13" s="39" t="s">
        <v>208</v>
      </c>
      <c r="M13" s="4" t="s">
        <v>290</v>
      </c>
    </row>
    <row r="14" spans="1:13" ht="15" customHeight="1" x14ac:dyDescent="0.25">
      <c r="A14" s="2" t="s">
        <v>291</v>
      </c>
      <c r="B14" s="53">
        <f>B13*'1_Assumptions'!B6</f>
        <v>1128</v>
      </c>
      <c r="C14" s="53">
        <f>C13*'1_Assumptions'!B6</f>
        <v>1184.4000000000001</v>
      </c>
      <c r="D14" s="53">
        <f>D13*'1_Assumptions'!B6</f>
        <v>1243.6200000000001</v>
      </c>
      <c r="E14" s="53">
        <f>E13*'1_Assumptions'!B6</f>
        <v>1305.8010000000002</v>
      </c>
      <c r="F14" s="53">
        <f>F13*'1_Assumptions'!B6</f>
        <v>1371.09105</v>
      </c>
      <c r="G14" s="53">
        <f>G13*'1_Assumptions'!B6</f>
        <v>1439.6456025</v>
      </c>
      <c r="H14" s="53">
        <f>H13*'1_Assumptions'!B6</f>
        <v>1511.627882625</v>
      </c>
      <c r="I14" s="53">
        <f>I13*'1_Assumptions'!B6</f>
        <v>1587.2092767562503</v>
      </c>
      <c r="J14" s="53">
        <f>J13*'1_Assumptions'!B6</f>
        <v>1666.5697405940628</v>
      </c>
      <c r="K14" s="53">
        <f>K13*'1_Assumptions'!B6</f>
        <v>1749.8982276237657</v>
      </c>
      <c r="L14" s="39" t="s">
        <v>208</v>
      </c>
      <c r="M14" s="4" t="s">
        <v>292</v>
      </c>
    </row>
    <row r="15" spans="1:13" ht="15" customHeight="1" x14ac:dyDescent="0.25">
      <c r="A15" s="2" t="s">
        <v>293</v>
      </c>
      <c r="B15" s="44">
        <f t="shared" ref="B15:K15" si="2">ROUND(B12*B14/100000,2)</f>
        <v>0</v>
      </c>
      <c r="C15" s="44">
        <f t="shared" si="2"/>
        <v>0</v>
      </c>
      <c r="D15" s="44">
        <f t="shared" si="2"/>
        <v>7.2</v>
      </c>
      <c r="E15" s="44">
        <f t="shared" si="2"/>
        <v>51.76</v>
      </c>
      <c r="F15" s="44">
        <f t="shared" si="2"/>
        <v>102.61</v>
      </c>
      <c r="G15" s="44">
        <f t="shared" si="2"/>
        <v>160.41999999999999</v>
      </c>
      <c r="H15" s="44">
        <f t="shared" si="2"/>
        <v>225.93</v>
      </c>
      <c r="I15" s="44">
        <f t="shared" si="2"/>
        <v>299.93</v>
      </c>
      <c r="J15" s="44">
        <f t="shared" si="2"/>
        <v>383.31</v>
      </c>
      <c r="K15" s="44">
        <f t="shared" si="2"/>
        <v>477</v>
      </c>
      <c r="L15" s="43">
        <f>SUM(B15:K15)</f>
        <v>1708.16</v>
      </c>
      <c r="M15" s="4" t="s">
        <v>294</v>
      </c>
    </row>
    <row r="16" spans="1:13" ht="15" customHeight="1" x14ac:dyDescent="0.25">
      <c r="A16" s="2" t="s">
        <v>295</v>
      </c>
      <c r="B16" s="42">
        <f>ROUND(B15*'1_Assumptions'!B63,2)</f>
        <v>0</v>
      </c>
      <c r="C16" s="42">
        <f>ROUND(C15*'1_Assumptions'!B63,2)</f>
        <v>0</v>
      </c>
      <c r="D16" s="42">
        <f>ROUND(D15*'1_Assumptions'!B63,2)</f>
        <v>0.14000000000000001</v>
      </c>
      <c r="E16" s="42">
        <f>ROUND(E15*'1_Assumptions'!B63,2)</f>
        <v>1.04</v>
      </c>
      <c r="F16" s="42">
        <f>ROUND(F15*'1_Assumptions'!B63,2)</f>
        <v>2.0499999999999998</v>
      </c>
      <c r="G16" s="42">
        <f>ROUND(G15*'1_Assumptions'!B63,2)</f>
        <v>3.21</v>
      </c>
      <c r="H16" s="42">
        <f>ROUND(H15*'1_Assumptions'!B63,2)</f>
        <v>4.5199999999999996</v>
      </c>
      <c r="I16" s="42">
        <f>ROUND(I15*'1_Assumptions'!B63,2)</f>
        <v>6</v>
      </c>
      <c r="J16" s="42">
        <f>ROUND(J15*'1_Assumptions'!B63,2)</f>
        <v>7.67</v>
      </c>
      <c r="K16" s="42">
        <f>ROUND(K15*'1_Assumptions'!B63,2)</f>
        <v>9.5399999999999991</v>
      </c>
      <c r="L16" s="43">
        <f>SUM(B16:K16)</f>
        <v>34.17</v>
      </c>
      <c r="M16" s="4" t="s">
        <v>296</v>
      </c>
    </row>
    <row r="17" spans="1:13" ht="15" customHeight="1" x14ac:dyDescent="0.25">
      <c r="A17" s="2" t="s">
        <v>297</v>
      </c>
      <c r="B17" s="45">
        <f t="shared" ref="B17:K17" si="3">B15-B16</f>
        <v>0</v>
      </c>
      <c r="C17" s="45">
        <f t="shared" si="3"/>
        <v>0</v>
      </c>
      <c r="D17" s="45">
        <f t="shared" si="3"/>
        <v>7.0600000000000005</v>
      </c>
      <c r="E17" s="45">
        <f t="shared" si="3"/>
        <v>50.72</v>
      </c>
      <c r="F17" s="45">
        <f t="shared" si="3"/>
        <v>100.56</v>
      </c>
      <c r="G17" s="45">
        <f t="shared" si="3"/>
        <v>157.20999999999998</v>
      </c>
      <c r="H17" s="45">
        <f t="shared" si="3"/>
        <v>221.41</v>
      </c>
      <c r="I17" s="45">
        <f t="shared" si="3"/>
        <v>293.93</v>
      </c>
      <c r="J17" s="45">
        <f t="shared" si="3"/>
        <v>375.64</v>
      </c>
      <c r="K17" s="45">
        <f t="shared" si="3"/>
        <v>467.46</v>
      </c>
      <c r="L17" s="43">
        <f>SUM(B17:K17)</f>
        <v>1673.9899999999998</v>
      </c>
      <c r="M17" s="4" t="s">
        <v>298</v>
      </c>
    </row>
    <row r="21" spans="1:13" ht="15" customHeight="1" x14ac:dyDescent="0.25">
      <c r="A21" s="72" t="s">
        <v>299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1:13" ht="15" customHeight="1" x14ac:dyDescent="0.25">
      <c r="A22" s="14" t="s">
        <v>274</v>
      </c>
      <c r="B22" s="14" t="s">
        <v>230</v>
      </c>
      <c r="C22" s="14" t="s">
        <v>231</v>
      </c>
      <c r="D22" s="14" t="s">
        <v>232</v>
      </c>
      <c r="E22" s="14" t="s">
        <v>233</v>
      </c>
      <c r="F22" s="14" t="s">
        <v>234</v>
      </c>
      <c r="G22" s="14" t="s">
        <v>235</v>
      </c>
      <c r="H22" s="14" t="s">
        <v>236</v>
      </c>
      <c r="I22" s="14" t="s">
        <v>237</v>
      </c>
      <c r="J22" s="14" t="s">
        <v>238</v>
      </c>
      <c r="K22" s="14" t="s">
        <v>239</v>
      </c>
      <c r="L22" s="14" t="s">
        <v>251</v>
      </c>
      <c r="M22" s="14" t="s">
        <v>242</v>
      </c>
    </row>
    <row r="23" spans="1:13" ht="21.75" customHeight="1" x14ac:dyDescent="0.25">
      <c r="A23" s="2" t="s">
        <v>275</v>
      </c>
      <c r="B23" s="38">
        <f>'3_CostProjections'!B9</f>
        <v>35</v>
      </c>
      <c r="C23" s="38">
        <f>'3_CostProjections'!C9</f>
        <v>535</v>
      </c>
      <c r="D23" s="38">
        <f>'3_CostProjections'!D9</f>
        <v>1035</v>
      </c>
      <c r="E23" s="38">
        <f>'3_CostProjections'!E9</f>
        <v>1535</v>
      </c>
      <c r="F23" s="38">
        <f>'3_CostProjections'!F9</f>
        <v>2035</v>
      </c>
      <c r="G23" s="38">
        <f>'3_CostProjections'!G9</f>
        <v>2535</v>
      </c>
      <c r="H23" s="38">
        <f>'3_CostProjections'!H9</f>
        <v>3035</v>
      </c>
      <c r="I23" s="38">
        <f>'3_CostProjections'!I9</f>
        <v>3535</v>
      </c>
      <c r="J23" s="38">
        <f>'3_CostProjections'!J9</f>
        <v>4035</v>
      </c>
      <c r="K23" s="38">
        <f>'3_CostProjections'!K9</f>
        <v>4535</v>
      </c>
      <c r="L23" s="39" t="s">
        <v>208</v>
      </c>
      <c r="M23" s="4" t="s">
        <v>276</v>
      </c>
    </row>
    <row r="24" spans="1:13" ht="15" customHeight="1" x14ac:dyDescent="0.25">
      <c r="A24" s="2" t="s">
        <v>277</v>
      </c>
      <c r="B24" s="47">
        <f>0</f>
        <v>0</v>
      </c>
      <c r="C24" s="47">
        <f>0</f>
        <v>0</v>
      </c>
      <c r="D24" s="47">
        <f>B23*'1_Assumptions'!B17</f>
        <v>29.75</v>
      </c>
      <c r="E24" s="47">
        <f>C23*'1_Assumptions'!B17</f>
        <v>454.75</v>
      </c>
      <c r="F24" s="47">
        <f>D23*'1_Assumptions'!B17</f>
        <v>879.75</v>
      </c>
      <c r="G24" s="47">
        <f>E23*'1_Assumptions'!B17</f>
        <v>1304.75</v>
      </c>
      <c r="H24" s="47">
        <f>F23*'1_Assumptions'!B17</f>
        <v>1729.75</v>
      </c>
      <c r="I24" s="47">
        <f>G23*'1_Assumptions'!B17</f>
        <v>2154.75</v>
      </c>
      <c r="J24" s="47">
        <f>H23*'1_Assumptions'!B17</f>
        <v>2579.75</v>
      </c>
      <c r="K24" s="47">
        <f>I23*'1_Assumptions'!B17</f>
        <v>3004.75</v>
      </c>
      <c r="L24" s="39" t="s">
        <v>208</v>
      </c>
      <c r="M24" s="4" t="s">
        <v>278</v>
      </c>
    </row>
    <row r="25" spans="1:13" ht="15" customHeight="1" x14ac:dyDescent="0.25">
      <c r="A25" s="2" t="s">
        <v>279</v>
      </c>
      <c r="B25" s="48">
        <f>'1_Assumptions'!B33</f>
        <v>22</v>
      </c>
      <c r="C25" s="48">
        <f>'1_Assumptions'!B33</f>
        <v>22</v>
      </c>
      <c r="D25" s="48">
        <f>'1_Assumptions'!B33</f>
        <v>22</v>
      </c>
      <c r="E25" s="48">
        <f>'1_Assumptions'!B33</f>
        <v>22</v>
      </c>
      <c r="F25" s="48">
        <f>'1_Assumptions'!B33</f>
        <v>22</v>
      </c>
      <c r="G25" s="48">
        <f>'1_Assumptions'!B33</f>
        <v>22</v>
      </c>
      <c r="H25" s="48">
        <f>'1_Assumptions'!B33</f>
        <v>22</v>
      </c>
      <c r="I25" s="48">
        <f>'1_Assumptions'!B33</f>
        <v>22</v>
      </c>
      <c r="J25" s="48">
        <f>'1_Assumptions'!B33</f>
        <v>22</v>
      </c>
      <c r="K25" s="48">
        <f>'1_Assumptions'!B33</f>
        <v>22</v>
      </c>
      <c r="L25" s="39" t="s">
        <v>208</v>
      </c>
      <c r="M25" s="4" t="s">
        <v>280</v>
      </c>
    </row>
    <row r="26" spans="1:13" ht="15" customHeight="1" x14ac:dyDescent="0.25">
      <c r="A26" s="2" t="s">
        <v>281</v>
      </c>
      <c r="B26" s="49">
        <f>MIN(B25*(1+'1_Assumptions'!B34)^(1-1),'1_Assumptions'!B35)</f>
        <v>22</v>
      </c>
      <c r="C26" s="49">
        <f>MIN(C25*(1+'1_Assumptions'!B34)^(2-1),'1_Assumptions'!B35)</f>
        <v>22.44</v>
      </c>
      <c r="D26" s="49">
        <f>MIN(D25*(1+'1_Assumptions'!B34)^(3-1),'1_Assumptions'!B35)</f>
        <v>22.8888</v>
      </c>
      <c r="E26" s="49">
        <f>MIN(E25*(1+'1_Assumptions'!B34)^(4-1),'1_Assumptions'!B35)</f>
        <v>23.346575999999999</v>
      </c>
      <c r="F26" s="49">
        <f>MIN(F25*(1+'1_Assumptions'!B34)^(5-1),'1_Assumptions'!B35)</f>
        <v>23.813507519999998</v>
      </c>
      <c r="G26" s="49">
        <f>MIN(G25*(1+'1_Assumptions'!B34)^(6-1),'1_Assumptions'!B35)</f>
        <v>24.289777670399999</v>
      </c>
      <c r="H26" s="49">
        <f>MIN(H25*(1+'1_Assumptions'!B34)^(7-1),'1_Assumptions'!B35)</f>
        <v>24.775573223808003</v>
      </c>
      <c r="I26" s="49">
        <f>MIN(I25*(1+'1_Assumptions'!B34)^(8-1),'1_Assumptions'!B35)</f>
        <v>25.271084688284155</v>
      </c>
      <c r="J26" s="49">
        <f>MIN(J25*(1+'1_Assumptions'!B34)^(9-1),'1_Assumptions'!B35)</f>
        <v>25.776506382049842</v>
      </c>
      <c r="K26" s="49">
        <f>MIN(K25*(1+'1_Assumptions'!B34)^(10-1),'1_Assumptions'!B35)</f>
        <v>26.292036509690838</v>
      </c>
      <c r="L26" s="39" t="s">
        <v>208</v>
      </c>
      <c r="M26" s="4" t="s">
        <v>258</v>
      </c>
    </row>
    <row r="27" spans="1:13" ht="15" customHeight="1" x14ac:dyDescent="0.25">
      <c r="A27" s="2" t="s">
        <v>283</v>
      </c>
      <c r="B27" s="47">
        <f t="shared" ref="B27:K27" si="4">ROUND(B24*B26,0)</f>
        <v>0</v>
      </c>
      <c r="C27" s="47">
        <f t="shared" si="4"/>
        <v>0</v>
      </c>
      <c r="D27" s="47">
        <f t="shared" si="4"/>
        <v>681</v>
      </c>
      <c r="E27" s="47">
        <f t="shared" si="4"/>
        <v>10617</v>
      </c>
      <c r="F27" s="47">
        <f t="shared" si="4"/>
        <v>20950</v>
      </c>
      <c r="G27" s="47">
        <f t="shared" si="4"/>
        <v>31692</v>
      </c>
      <c r="H27" s="47">
        <f t="shared" si="4"/>
        <v>42856</v>
      </c>
      <c r="I27" s="47">
        <f t="shared" si="4"/>
        <v>54453</v>
      </c>
      <c r="J27" s="47">
        <f t="shared" si="4"/>
        <v>66497</v>
      </c>
      <c r="K27" s="47">
        <f t="shared" si="4"/>
        <v>79001</v>
      </c>
      <c r="L27" s="50">
        <f>SUM(B27:K27)</f>
        <v>306747</v>
      </c>
      <c r="M27" s="4" t="s">
        <v>258</v>
      </c>
    </row>
    <row r="28" spans="1:13" ht="15" customHeight="1" x14ac:dyDescent="0.25">
      <c r="A28" s="2" t="s">
        <v>285</v>
      </c>
      <c r="B28" s="47">
        <f>ROUND(B27*'1_Assumptions'!B36,0)</f>
        <v>0</v>
      </c>
      <c r="C28" s="47">
        <f>ROUND(C27*'1_Assumptions'!B36,0)</f>
        <v>0</v>
      </c>
      <c r="D28" s="47">
        <f>ROUND(D27*'1_Assumptions'!B36,0)</f>
        <v>102</v>
      </c>
      <c r="E28" s="47">
        <f>ROUND(E27*'1_Assumptions'!B36,0)</f>
        <v>1593</v>
      </c>
      <c r="F28" s="47">
        <f>ROUND(F27*'1_Assumptions'!B36,0)</f>
        <v>3143</v>
      </c>
      <c r="G28" s="47">
        <f>ROUND(G27*'1_Assumptions'!B36,0)</f>
        <v>4754</v>
      </c>
      <c r="H28" s="47">
        <f>ROUND(H27*'1_Assumptions'!B36,0)</f>
        <v>6428</v>
      </c>
      <c r="I28" s="47">
        <f>ROUND(I27*'1_Assumptions'!B36,0)</f>
        <v>8168</v>
      </c>
      <c r="J28" s="47">
        <f>ROUND(J27*'1_Assumptions'!B36,0)</f>
        <v>9975</v>
      </c>
      <c r="K28" s="47">
        <f>ROUND(K27*'1_Assumptions'!B36,0)</f>
        <v>11850</v>
      </c>
      <c r="L28" s="50">
        <f>SUM(B28:K28)</f>
        <v>46013</v>
      </c>
      <c r="M28" s="4" t="s">
        <v>258</v>
      </c>
    </row>
    <row r="29" spans="1:13" ht="15" customHeight="1" x14ac:dyDescent="0.25">
      <c r="A29" s="2" t="s">
        <v>287</v>
      </c>
      <c r="B29" s="51">
        <f t="shared" ref="B29:K29" si="5">B27-B28</f>
        <v>0</v>
      </c>
      <c r="C29" s="51">
        <f t="shared" si="5"/>
        <v>0</v>
      </c>
      <c r="D29" s="51">
        <f t="shared" si="5"/>
        <v>579</v>
      </c>
      <c r="E29" s="51">
        <f t="shared" si="5"/>
        <v>9024</v>
      </c>
      <c r="F29" s="51">
        <f t="shared" si="5"/>
        <v>17807</v>
      </c>
      <c r="G29" s="51">
        <f t="shared" si="5"/>
        <v>26938</v>
      </c>
      <c r="H29" s="51">
        <f t="shared" si="5"/>
        <v>36428</v>
      </c>
      <c r="I29" s="51">
        <f t="shared" si="5"/>
        <v>46285</v>
      </c>
      <c r="J29" s="51">
        <f t="shared" si="5"/>
        <v>56522</v>
      </c>
      <c r="K29" s="51">
        <f t="shared" si="5"/>
        <v>67151</v>
      </c>
      <c r="L29" s="50">
        <f>SUM(B29:K29)</f>
        <v>260734</v>
      </c>
      <c r="M29" s="4" t="s">
        <v>258</v>
      </c>
    </row>
    <row r="30" spans="1:13" ht="15" customHeight="1" x14ac:dyDescent="0.25">
      <c r="A30" s="2" t="s">
        <v>289</v>
      </c>
      <c r="B30" s="52">
        <f>'1_Assumptions'!B38*(1+'1_Assumptions'!B39)^(1-1)</f>
        <v>12</v>
      </c>
      <c r="C30" s="52">
        <f>'1_Assumptions'!B38*(1+'1_Assumptions'!B39)^(2-1)</f>
        <v>12.600000000000001</v>
      </c>
      <c r="D30" s="52">
        <f>'1_Assumptions'!B38*(1+'1_Assumptions'!B39)^(3-1)</f>
        <v>13.23</v>
      </c>
      <c r="E30" s="52">
        <f>'1_Assumptions'!B38*(1+'1_Assumptions'!B39)^(4-1)</f>
        <v>13.891500000000001</v>
      </c>
      <c r="F30" s="52">
        <f>'1_Assumptions'!B38*(1+'1_Assumptions'!B39)^(5-1)</f>
        <v>14.586075000000001</v>
      </c>
      <c r="G30" s="52">
        <f>'1_Assumptions'!B38*(1+'1_Assumptions'!B39)^(6-1)</f>
        <v>15.315378750000001</v>
      </c>
      <c r="H30" s="52">
        <f>'1_Assumptions'!B38*(1+'1_Assumptions'!B39)^(7-1)</f>
        <v>16.0811476875</v>
      </c>
      <c r="I30" s="52">
        <f>'1_Assumptions'!B38*(1+'1_Assumptions'!B39)^(8-1)</f>
        <v>16.885205071875003</v>
      </c>
      <c r="J30" s="52">
        <f>'1_Assumptions'!B38*(1+'1_Assumptions'!B39)^(9-1)</f>
        <v>17.729465325468752</v>
      </c>
      <c r="K30" s="52">
        <f>'1_Assumptions'!B38*(1+'1_Assumptions'!B39)^(10-1)</f>
        <v>18.615938591742189</v>
      </c>
      <c r="L30" s="39" t="s">
        <v>208</v>
      </c>
      <c r="M30" s="4" t="s">
        <v>258</v>
      </c>
    </row>
    <row r="31" spans="1:13" ht="15" customHeight="1" x14ac:dyDescent="0.25">
      <c r="A31" s="2" t="s">
        <v>291</v>
      </c>
      <c r="B31" s="53">
        <f>B30*'1_Assumptions'!B6</f>
        <v>1128</v>
      </c>
      <c r="C31" s="53">
        <f>C30*'1_Assumptions'!B6</f>
        <v>1184.4000000000001</v>
      </c>
      <c r="D31" s="53">
        <f>D30*'1_Assumptions'!B6</f>
        <v>1243.6200000000001</v>
      </c>
      <c r="E31" s="53">
        <f>E30*'1_Assumptions'!B6</f>
        <v>1305.8010000000002</v>
      </c>
      <c r="F31" s="53">
        <f>F30*'1_Assumptions'!B6</f>
        <v>1371.09105</v>
      </c>
      <c r="G31" s="53">
        <f>G30*'1_Assumptions'!B6</f>
        <v>1439.6456025</v>
      </c>
      <c r="H31" s="53">
        <f>H30*'1_Assumptions'!B6</f>
        <v>1511.627882625</v>
      </c>
      <c r="I31" s="53">
        <f>I30*'1_Assumptions'!B6</f>
        <v>1587.2092767562503</v>
      </c>
      <c r="J31" s="53">
        <f>J30*'1_Assumptions'!B6</f>
        <v>1666.5697405940628</v>
      </c>
      <c r="K31" s="53">
        <f>K30*'1_Assumptions'!B6</f>
        <v>1749.8982276237657</v>
      </c>
      <c r="L31" s="39" t="s">
        <v>208</v>
      </c>
      <c r="M31" s="4" t="s">
        <v>258</v>
      </c>
    </row>
    <row r="32" spans="1:13" ht="15" customHeight="1" x14ac:dyDescent="0.25">
      <c r="A32" s="2" t="s">
        <v>293</v>
      </c>
      <c r="B32" s="44">
        <f t="shared" ref="B32:K32" si="6">ROUND(B29*B31/100000,2)</f>
        <v>0</v>
      </c>
      <c r="C32" s="44">
        <f t="shared" si="6"/>
        <v>0</v>
      </c>
      <c r="D32" s="44">
        <f t="shared" si="6"/>
        <v>7.2</v>
      </c>
      <c r="E32" s="44">
        <f t="shared" si="6"/>
        <v>117.84</v>
      </c>
      <c r="F32" s="44">
        <f t="shared" si="6"/>
        <v>244.15</v>
      </c>
      <c r="G32" s="44">
        <f t="shared" si="6"/>
        <v>387.81</v>
      </c>
      <c r="H32" s="44">
        <f t="shared" si="6"/>
        <v>550.66</v>
      </c>
      <c r="I32" s="44">
        <f t="shared" si="6"/>
        <v>734.64</v>
      </c>
      <c r="J32" s="44">
        <f t="shared" si="6"/>
        <v>941.98</v>
      </c>
      <c r="K32" s="44">
        <f t="shared" si="6"/>
        <v>1175.07</v>
      </c>
      <c r="L32" s="43">
        <f>SUM(B32:K32)</f>
        <v>4159.3499999999995</v>
      </c>
      <c r="M32" s="4" t="s">
        <v>258</v>
      </c>
    </row>
    <row r="33" spans="1:13" ht="15" customHeight="1" x14ac:dyDescent="0.25">
      <c r="A33" s="2" t="s">
        <v>295</v>
      </c>
      <c r="B33" s="42">
        <f>ROUND(B32*'1_Assumptions'!B63,2)</f>
        <v>0</v>
      </c>
      <c r="C33" s="42">
        <f>ROUND(C32*'1_Assumptions'!B63,2)</f>
        <v>0</v>
      </c>
      <c r="D33" s="42">
        <f>ROUND(D32*'1_Assumptions'!B63,2)</f>
        <v>0.14000000000000001</v>
      </c>
      <c r="E33" s="42">
        <f>ROUND(E32*'1_Assumptions'!B63,2)</f>
        <v>2.36</v>
      </c>
      <c r="F33" s="42">
        <f>ROUND(F32*'1_Assumptions'!B63,2)</f>
        <v>4.88</v>
      </c>
      <c r="G33" s="42">
        <f>ROUND(G32*'1_Assumptions'!B63,2)</f>
        <v>7.76</v>
      </c>
      <c r="H33" s="42">
        <f>ROUND(H32*'1_Assumptions'!B63,2)</f>
        <v>11.01</v>
      </c>
      <c r="I33" s="42">
        <f>ROUND(I32*'1_Assumptions'!B63,2)</f>
        <v>14.69</v>
      </c>
      <c r="J33" s="42">
        <f>ROUND(J32*'1_Assumptions'!B63,2)</f>
        <v>18.84</v>
      </c>
      <c r="K33" s="42">
        <f>ROUND(K32*'1_Assumptions'!B63,2)</f>
        <v>23.5</v>
      </c>
      <c r="L33" s="43">
        <f>SUM(B33:K33)</f>
        <v>83.179999999999993</v>
      </c>
      <c r="M33" s="4" t="s">
        <v>258</v>
      </c>
    </row>
    <row r="34" spans="1:13" ht="15" customHeight="1" x14ac:dyDescent="0.25">
      <c r="A34" s="2" t="s">
        <v>297</v>
      </c>
      <c r="B34" s="45">
        <f t="shared" ref="B34:K34" si="7">B32-B33</f>
        <v>0</v>
      </c>
      <c r="C34" s="45">
        <f t="shared" si="7"/>
        <v>0</v>
      </c>
      <c r="D34" s="45">
        <f t="shared" si="7"/>
        <v>7.0600000000000005</v>
      </c>
      <c r="E34" s="45">
        <f t="shared" si="7"/>
        <v>115.48</v>
      </c>
      <c r="F34" s="45">
        <f t="shared" si="7"/>
        <v>239.27</v>
      </c>
      <c r="G34" s="45">
        <f t="shared" si="7"/>
        <v>380.05</v>
      </c>
      <c r="H34" s="45">
        <f t="shared" si="7"/>
        <v>539.65</v>
      </c>
      <c r="I34" s="45">
        <f t="shared" si="7"/>
        <v>719.94999999999993</v>
      </c>
      <c r="J34" s="45">
        <f t="shared" si="7"/>
        <v>923.14</v>
      </c>
      <c r="K34" s="45">
        <f t="shared" si="7"/>
        <v>1151.57</v>
      </c>
      <c r="L34" s="43">
        <f>SUM(B34:K34)</f>
        <v>4076.17</v>
      </c>
      <c r="M34" s="4" t="s">
        <v>258</v>
      </c>
    </row>
  </sheetData>
  <mergeCells count="4">
    <mergeCell ref="A1:M1"/>
    <mergeCell ref="A2:M2"/>
    <mergeCell ref="A4:M4"/>
    <mergeCell ref="A21:M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tabSelected="1" topLeftCell="A29" zoomScaleNormal="100" workbookViewId="0">
      <selection activeCell="B7" sqref="B7"/>
    </sheetView>
  </sheetViews>
  <sheetFormatPr defaultColWidth="8.7109375" defaultRowHeight="15" x14ac:dyDescent="0.25"/>
  <cols>
    <col min="1" max="1" width="30" customWidth="1"/>
    <col min="2" max="11" width="14" customWidth="1"/>
    <col min="12" max="12" width="16" customWidth="1"/>
    <col min="13" max="13" width="18" customWidth="1"/>
    <col min="14" max="14" width="22" customWidth="1"/>
  </cols>
  <sheetData>
    <row r="1" spans="1:14" ht="27.75" customHeight="1" x14ac:dyDescent="0.25">
      <c r="A1" s="70" t="s">
        <v>300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" customHeight="1" x14ac:dyDescent="0.25">
      <c r="A2" s="71" t="s">
        <v>301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ht="15" customHeight="1" x14ac:dyDescent="0.25">
      <c r="A4" s="72" t="s">
        <v>302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5" spans="1:14" ht="15" customHeight="1" x14ac:dyDescent="0.25">
      <c r="A5" s="14" t="s">
        <v>303</v>
      </c>
      <c r="B5" s="14" t="s">
        <v>230</v>
      </c>
      <c r="C5" s="14" t="s">
        <v>231</v>
      </c>
      <c r="D5" s="14" t="s">
        <v>232</v>
      </c>
      <c r="E5" s="14" t="s">
        <v>233</v>
      </c>
      <c r="F5" s="14" t="s">
        <v>234</v>
      </c>
      <c r="G5" s="14" t="s">
        <v>235</v>
      </c>
      <c r="H5" s="14" t="s">
        <v>236</v>
      </c>
      <c r="I5" s="14" t="s">
        <v>237</v>
      </c>
      <c r="J5" s="14" t="s">
        <v>238</v>
      </c>
      <c r="K5" s="14" t="s">
        <v>239</v>
      </c>
      <c r="L5" s="14" t="s">
        <v>251</v>
      </c>
      <c r="M5" s="14" t="s">
        <v>252</v>
      </c>
      <c r="N5" s="14" t="s">
        <v>242</v>
      </c>
    </row>
    <row r="6" spans="1:14" ht="32.25" customHeight="1" x14ac:dyDescent="0.25">
      <c r="A6" s="2" t="s">
        <v>297</v>
      </c>
      <c r="B6" s="54">
        <f>'4_CarbonProjections'!B17</f>
        <v>0</v>
      </c>
      <c r="C6" s="54">
        <f>'4_CarbonProjections'!C17</f>
        <v>0</v>
      </c>
      <c r="D6" s="54">
        <f>'4_CarbonProjections'!D17</f>
        <v>7.0600000000000005</v>
      </c>
      <c r="E6" s="54">
        <f>'4_CarbonProjections'!E17</f>
        <v>50.72</v>
      </c>
      <c r="F6" s="54">
        <f>'4_CarbonProjections'!F17</f>
        <v>100.56</v>
      </c>
      <c r="G6" s="54">
        <f>'4_CarbonProjections'!G17</f>
        <v>157.20999999999998</v>
      </c>
      <c r="H6" s="54">
        <f>'4_CarbonProjections'!H17</f>
        <v>221.41</v>
      </c>
      <c r="I6" s="54">
        <f>'4_CarbonProjections'!I17</f>
        <v>293.93</v>
      </c>
      <c r="J6" s="54">
        <f>'4_CarbonProjections'!J17</f>
        <v>375.64</v>
      </c>
      <c r="K6" s="54">
        <f>'4_CarbonProjections'!K17</f>
        <v>467.46</v>
      </c>
      <c r="L6" s="43">
        <f>SUM(B6:K6)</f>
        <v>1673.9899999999998</v>
      </c>
      <c r="M6" s="42">
        <f>L6/10</f>
        <v>167.39899999999997</v>
      </c>
      <c r="N6" s="4" t="s">
        <v>304</v>
      </c>
    </row>
    <row r="7" spans="1:14" ht="32.25" customHeight="1" x14ac:dyDescent="0.25">
      <c r="A7" s="2" t="s">
        <v>264</v>
      </c>
      <c r="B7" s="55">
        <f>'3_CostProjections'!B21</f>
        <v>177.26300000000001</v>
      </c>
      <c r="C7" s="55">
        <f>'3_CostProjections'!C21</f>
        <v>670.88964999999996</v>
      </c>
      <c r="D7" s="55">
        <f>'3_CostProjections'!D21</f>
        <v>719.13663249999991</v>
      </c>
      <c r="E7" s="55">
        <f>'3_CostProjections'!E21</f>
        <v>768.89596412499998</v>
      </c>
      <c r="F7" s="55">
        <f>'3_CostProjections'!F21</f>
        <v>820.24326233124998</v>
      </c>
      <c r="G7" s="55">
        <f>'3_CostProjections'!G21</f>
        <v>873.25792544781257</v>
      </c>
      <c r="H7" s="55">
        <f>'3_CostProjections'!H21</f>
        <v>928.02332172020294</v>
      </c>
      <c r="I7" s="55">
        <f>'3_CostProjections'!I21</f>
        <v>984.62698780621338</v>
      </c>
      <c r="J7" s="55">
        <f>'3_CostProjections'!J21</f>
        <v>1043.1608371965237</v>
      </c>
      <c r="K7" s="55">
        <f>'3_CostProjections'!K21</f>
        <v>1103.7213790563503</v>
      </c>
      <c r="L7" s="43">
        <f>SUM(B7:K7)</f>
        <v>8089.2189601833525</v>
      </c>
      <c r="M7" s="42">
        <f>L7/10</f>
        <v>808.92189601833525</v>
      </c>
      <c r="N7" s="4" t="s">
        <v>305</v>
      </c>
    </row>
    <row r="8" spans="1:14" ht="32.25" customHeight="1" x14ac:dyDescent="0.25">
      <c r="A8" s="2" t="s">
        <v>306</v>
      </c>
      <c r="B8" s="55">
        <f>'1_Assumptions'!B51/100000</f>
        <v>19.302</v>
      </c>
      <c r="C8" s="42">
        <f>0</f>
        <v>0</v>
      </c>
      <c r="D8" s="42">
        <f>0</f>
        <v>0</v>
      </c>
      <c r="E8" s="42">
        <f>0</f>
        <v>0</v>
      </c>
      <c r="F8" s="42">
        <f>0</f>
        <v>0</v>
      </c>
      <c r="G8" s="42">
        <f>0</f>
        <v>0</v>
      </c>
      <c r="H8" s="42">
        <f>0</f>
        <v>0</v>
      </c>
      <c r="I8" s="42">
        <f>0</f>
        <v>0</v>
      </c>
      <c r="J8" s="42">
        <f>0</f>
        <v>0</v>
      </c>
      <c r="K8" s="42">
        <f>0</f>
        <v>0</v>
      </c>
      <c r="L8" s="43">
        <f>SUM(B8:K8)</f>
        <v>19.302</v>
      </c>
      <c r="N8" s="4" t="s">
        <v>307</v>
      </c>
    </row>
    <row r="9" spans="1:14" ht="15" customHeight="1" x14ac:dyDescent="0.25">
      <c r="A9" s="2" t="s">
        <v>308</v>
      </c>
      <c r="B9" s="44">
        <f t="shared" ref="B9:K9" si="0">B6-B7-B8</f>
        <v>-196.565</v>
      </c>
      <c r="C9" s="44">
        <f t="shared" si="0"/>
        <v>-670.88964999999996</v>
      </c>
      <c r="D9" s="44">
        <f t="shared" si="0"/>
        <v>-712.07663249999996</v>
      </c>
      <c r="E9" s="44">
        <f t="shared" si="0"/>
        <v>-718.17596412499995</v>
      </c>
      <c r="F9" s="44">
        <f t="shared" si="0"/>
        <v>-719.68326233125003</v>
      </c>
      <c r="G9" s="44">
        <f t="shared" si="0"/>
        <v>-716.04792544781253</v>
      </c>
      <c r="H9" s="44">
        <f t="shared" si="0"/>
        <v>-706.61332172020298</v>
      </c>
      <c r="I9" s="44">
        <f t="shared" si="0"/>
        <v>-690.69698780621343</v>
      </c>
      <c r="J9" s="44">
        <f t="shared" si="0"/>
        <v>-667.52083719652376</v>
      </c>
      <c r="K9" s="44">
        <f t="shared" si="0"/>
        <v>-636.26137905635028</v>
      </c>
      <c r="L9" s="43">
        <f>SUM(B9:K9)</f>
        <v>-6434.5309601833524</v>
      </c>
      <c r="M9" s="42">
        <f>L9/10</f>
        <v>-643.45309601833526</v>
      </c>
      <c r="N9" s="4" t="s">
        <v>309</v>
      </c>
    </row>
    <row r="10" spans="1:14" ht="32.25" customHeight="1" x14ac:dyDescent="0.25">
      <c r="A10" s="2" t="s">
        <v>310</v>
      </c>
      <c r="B10" s="56">
        <f>B9</f>
        <v>-196.565</v>
      </c>
      <c r="C10" s="56">
        <f t="shared" ref="C10:K10" si="1">B10+C9</f>
        <v>-867.4546499999999</v>
      </c>
      <c r="D10" s="56">
        <f t="shared" si="1"/>
        <v>-1579.5312824999999</v>
      </c>
      <c r="E10" s="56">
        <f t="shared" si="1"/>
        <v>-2297.7072466249997</v>
      </c>
      <c r="F10" s="56">
        <f t="shared" si="1"/>
        <v>-3017.3905089562495</v>
      </c>
      <c r="G10" s="56">
        <f t="shared" si="1"/>
        <v>-3733.4384344040618</v>
      </c>
      <c r="H10" s="56">
        <f t="shared" si="1"/>
        <v>-4440.051756124265</v>
      </c>
      <c r="I10" s="56">
        <f t="shared" si="1"/>
        <v>-5130.7487439304787</v>
      </c>
      <c r="J10" s="56">
        <f t="shared" si="1"/>
        <v>-5798.2695811270023</v>
      </c>
      <c r="K10" s="56">
        <f t="shared" si="1"/>
        <v>-6434.5309601833524</v>
      </c>
      <c r="L10" s="46">
        <f>K10</f>
        <v>-6434.5309601833524</v>
      </c>
      <c r="N10" s="4" t="s">
        <v>311</v>
      </c>
    </row>
    <row r="11" spans="1:14" ht="21.75" customHeight="1" x14ac:dyDescent="0.25">
      <c r="A11" s="2" t="s">
        <v>312</v>
      </c>
      <c r="B11" s="57">
        <f>'4_CarbonProjections'!B12</f>
        <v>0</v>
      </c>
      <c r="C11" s="57">
        <f>'4_CarbonProjections'!C12</f>
        <v>0</v>
      </c>
      <c r="D11" s="57">
        <f>'4_CarbonProjections'!D12</f>
        <v>579</v>
      </c>
      <c r="E11" s="57">
        <f>'4_CarbonProjections'!E12</f>
        <v>3964</v>
      </c>
      <c r="F11" s="57">
        <f>'4_CarbonProjections'!F12</f>
        <v>7484</v>
      </c>
      <c r="G11" s="57">
        <f>'4_CarbonProjections'!G12</f>
        <v>11143</v>
      </c>
      <c r="H11" s="57">
        <f>'4_CarbonProjections'!H12</f>
        <v>14946</v>
      </c>
      <c r="I11" s="57">
        <f>'4_CarbonProjections'!I12</f>
        <v>18897</v>
      </c>
      <c r="J11" s="57">
        <f>'4_CarbonProjections'!J12</f>
        <v>23000</v>
      </c>
      <c r="K11" s="57">
        <f>'4_CarbonProjections'!K12</f>
        <v>27259</v>
      </c>
      <c r="L11" s="39" t="s">
        <v>208</v>
      </c>
      <c r="N11" s="4" t="s">
        <v>313</v>
      </c>
    </row>
    <row r="12" spans="1:14" ht="21.75" customHeight="1" x14ac:dyDescent="0.25">
      <c r="A12" s="2" t="s">
        <v>314</v>
      </c>
      <c r="B12" s="58">
        <f>'4_CarbonProjections'!B13</f>
        <v>12</v>
      </c>
      <c r="C12" s="58">
        <f>'4_CarbonProjections'!C13</f>
        <v>12.600000000000001</v>
      </c>
      <c r="D12" s="58">
        <f>'4_CarbonProjections'!D13</f>
        <v>13.23</v>
      </c>
      <c r="E12" s="58">
        <f>'4_CarbonProjections'!E13</f>
        <v>13.891500000000001</v>
      </c>
      <c r="F12" s="58">
        <f>'4_CarbonProjections'!F13</f>
        <v>14.586075000000001</v>
      </c>
      <c r="G12" s="58">
        <f>'4_CarbonProjections'!G13</f>
        <v>15.315378750000001</v>
      </c>
      <c r="H12" s="58">
        <f>'4_CarbonProjections'!H13</f>
        <v>16.0811476875</v>
      </c>
      <c r="I12" s="58">
        <f>'4_CarbonProjections'!I13</f>
        <v>16.885205071875003</v>
      </c>
      <c r="J12" s="58">
        <f>'4_CarbonProjections'!J13</f>
        <v>17.729465325468752</v>
      </c>
      <c r="K12" s="58">
        <f>'4_CarbonProjections'!K13</f>
        <v>18.615938591742189</v>
      </c>
      <c r="L12" s="39" t="s">
        <v>208</v>
      </c>
      <c r="N12" s="4" t="s">
        <v>315</v>
      </c>
    </row>
    <row r="16" spans="1:14" ht="15" customHeight="1" x14ac:dyDescent="0.25">
      <c r="A16" s="72" t="s">
        <v>316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</row>
    <row r="17" spans="1:14" ht="15" customHeight="1" x14ac:dyDescent="0.25">
      <c r="A17" s="14" t="s">
        <v>303</v>
      </c>
      <c r="B17" s="14" t="s">
        <v>230</v>
      </c>
      <c r="C17" s="14" t="s">
        <v>231</v>
      </c>
      <c r="D17" s="14" t="s">
        <v>232</v>
      </c>
      <c r="E17" s="14" t="s">
        <v>233</v>
      </c>
      <c r="F17" s="14" t="s">
        <v>234</v>
      </c>
      <c r="G17" s="14" t="s">
        <v>235</v>
      </c>
      <c r="H17" s="14" t="s">
        <v>236</v>
      </c>
      <c r="I17" s="14" t="s">
        <v>237</v>
      </c>
      <c r="J17" s="14" t="s">
        <v>238</v>
      </c>
      <c r="K17" s="14" t="s">
        <v>239</v>
      </c>
      <c r="L17" s="14" t="s">
        <v>251</v>
      </c>
      <c r="M17" s="14" t="s">
        <v>252</v>
      </c>
      <c r="N17" s="14" t="s">
        <v>242</v>
      </c>
    </row>
    <row r="18" spans="1:14" ht="32.25" customHeight="1" x14ac:dyDescent="0.25">
      <c r="A18" s="2" t="s">
        <v>297</v>
      </c>
      <c r="B18" s="54">
        <f>'4_CarbonProjections'!B34</f>
        <v>0</v>
      </c>
      <c r="C18" s="54">
        <f>'4_CarbonProjections'!C34</f>
        <v>0</v>
      </c>
      <c r="D18" s="54">
        <f>'4_CarbonProjections'!D34</f>
        <v>7.0600000000000005</v>
      </c>
      <c r="E18" s="54">
        <f>'4_CarbonProjections'!E34</f>
        <v>115.48</v>
      </c>
      <c r="F18" s="54">
        <f>'4_CarbonProjections'!F34</f>
        <v>239.27</v>
      </c>
      <c r="G18" s="54">
        <f>'4_CarbonProjections'!G34</f>
        <v>380.05</v>
      </c>
      <c r="H18" s="54">
        <f>'4_CarbonProjections'!H34</f>
        <v>539.65</v>
      </c>
      <c r="I18" s="54">
        <f>'4_CarbonProjections'!I34</f>
        <v>719.94999999999993</v>
      </c>
      <c r="J18" s="54">
        <f>'4_CarbonProjections'!J34</f>
        <v>923.14</v>
      </c>
      <c r="K18" s="54">
        <f>'4_CarbonProjections'!K34</f>
        <v>1151.57</v>
      </c>
      <c r="L18" s="43">
        <f>SUM(B18:K18)</f>
        <v>4076.17</v>
      </c>
      <c r="M18" s="42">
        <f>L18/10</f>
        <v>407.61700000000002</v>
      </c>
      <c r="N18" s="4" t="s">
        <v>304</v>
      </c>
    </row>
    <row r="19" spans="1:14" ht="32.25" customHeight="1" x14ac:dyDescent="0.25">
      <c r="A19" s="2" t="s">
        <v>264</v>
      </c>
      <c r="B19" s="55">
        <f>'3_CostProjections'!B34</f>
        <v>296.26249999999999</v>
      </c>
      <c r="C19" s="55">
        <f>'3_CostProjections'!C34</f>
        <v>1672.499125</v>
      </c>
      <c r="D19" s="55">
        <f>'3_CostProjections'!D34</f>
        <v>1793.1165812500001</v>
      </c>
      <c r="E19" s="55">
        <f>'3_CostProjections'!E34</f>
        <v>1917.5149103125004</v>
      </c>
      <c r="F19" s="55">
        <f>'3_CostProjections'!F34</f>
        <v>2045.8831558281249</v>
      </c>
      <c r="G19" s="55">
        <f>'3_CostProjections'!G34</f>
        <v>2178.4198136195319</v>
      </c>
      <c r="H19" s="55">
        <f>'3_CostProjections'!H34</f>
        <v>2315.3333043005077</v>
      </c>
      <c r="I19" s="55">
        <f>'3_CostProjections'!I34</f>
        <v>2456.8424695155331</v>
      </c>
      <c r="J19" s="55">
        <f>'3_CostProjections'!J34</f>
        <v>2603.17709299131</v>
      </c>
      <c r="K19" s="55">
        <f>'3_CostProjections'!K34</f>
        <v>2754.5784476408758</v>
      </c>
      <c r="L19" s="43">
        <f>SUM(B19:K19)</f>
        <v>20033.627400458387</v>
      </c>
      <c r="M19" s="42">
        <f>L19/10</f>
        <v>2003.3627400458386</v>
      </c>
      <c r="N19" s="4" t="s">
        <v>305</v>
      </c>
    </row>
    <row r="20" spans="1:14" ht="32.25" customHeight="1" x14ac:dyDescent="0.25">
      <c r="A20" s="2" t="s">
        <v>306</v>
      </c>
      <c r="B20" s="55">
        <f>'1_Assumptions'!B51/100000</f>
        <v>19.302</v>
      </c>
      <c r="C20" s="42">
        <f>0</f>
        <v>0</v>
      </c>
      <c r="D20" s="42">
        <f>0</f>
        <v>0</v>
      </c>
      <c r="E20" s="42">
        <f>0</f>
        <v>0</v>
      </c>
      <c r="F20" s="42">
        <f>0</f>
        <v>0</v>
      </c>
      <c r="G20" s="42">
        <f>0</f>
        <v>0</v>
      </c>
      <c r="H20" s="42">
        <f>0</f>
        <v>0</v>
      </c>
      <c r="I20" s="42">
        <f>0</f>
        <v>0</v>
      </c>
      <c r="J20" s="42">
        <f>0</f>
        <v>0</v>
      </c>
      <c r="K20" s="42">
        <f>0</f>
        <v>0</v>
      </c>
      <c r="L20" s="43">
        <f>SUM(B20:K20)</f>
        <v>19.302</v>
      </c>
      <c r="N20" s="4" t="s">
        <v>307</v>
      </c>
    </row>
    <row r="21" spans="1:14" ht="15" customHeight="1" x14ac:dyDescent="0.25">
      <c r="A21" s="2" t="s">
        <v>308</v>
      </c>
      <c r="B21" s="44">
        <f t="shared" ref="B21:K21" si="2">B18-B19-B20</f>
        <v>-315.56450000000001</v>
      </c>
      <c r="C21" s="44">
        <f t="shared" si="2"/>
        <v>-1672.499125</v>
      </c>
      <c r="D21" s="44">
        <f t="shared" si="2"/>
        <v>-1786.0565812500001</v>
      </c>
      <c r="E21" s="44">
        <f t="shared" si="2"/>
        <v>-1802.0349103125004</v>
      </c>
      <c r="F21" s="44">
        <f t="shared" si="2"/>
        <v>-1806.6131558281249</v>
      </c>
      <c r="G21" s="44">
        <f t="shared" si="2"/>
        <v>-1798.3698136195319</v>
      </c>
      <c r="H21" s="44">
        <f t="shared" si="2"/>
        <v>-1775.6833043005076</v>
      </c>
      <c r="I21" s="44">
        <f t="shared" si="2"/>
        <v>-1736.8924695155333</v>
      </c>
      <c r="J21" s="44">
        <f t="shared" si="2"/>
        <v>-1680.0370929913101</v>
      </c>
      <c r="K21" s="44">
        <f t="shared" si="2"/>
        <v>-1603.0084476408758</v>
      </c>
      <c r="L21" s="43">
        <f>SUM(B21:K21)</f>
        <v>-15976.759400458384</v>
      </c>
      <c r="M21" s="42">
        <f>L21/10</f>
        <v>-1597.6759400458384</v>
      </c>
      <c r="N21" s="4" t="s">
        <v>309</v>
      </c>
    </row>
    <row r="22" spans="1:14" ht="32.25" customHeight="1" x14ac:dyDescent="0.25">
      <c r="A22" s="2" t="s">
        <v>310</v>
      </c>
      <c r="B22" s="56">
        <f>B21</f>
        <v>-315.56450000000001</v>
      </c>
      <c r="C22" s="56">
        <f t="shared" ref="C22:K22" si="3">B22+C21</f>
        <v>-1988.063625</v>
      </c>
      <c r="D22" s="56">
        <f t="shared" si="3"/>
        <v>-3774.1202062500001</v>
      </c>
      <c r="E22" s="56">
        <f t="shared" si="3"/>
        <v>-5576.1551165625006</v>
      </c>
      <c r="F22" s="56">
        <f t="shared" si="3"/>
        <v>-7382.7682723906255</v>
      </c>
      <c r="G22" s="56">
        <f t="shared" si="3"/>
        <v>-9181.1380860101581</v>
      </c>
      <c r="H22" s="56">
        <f t="shared" si="3"/>
        <v>-10956.821390310666</v>
      </c>
      <c r="I22" s="56">
        <f t="shared" si="3"/>
        <v>-12693.713859826199</v>
      </c>
      <c r="J22" s="56">
        <f t="shared" si="3"/>
        <v>-14373.750952817509</v>
      </c>
      <c r="K22" s="56">
        <f t="shared" si="3"/>
        <v>-15976.759400458384</v>
      </c>
      <c r="L22" s="46">
        <f>K22</f>
        <v>-15976.759400458384</v>
      </c>
      <c r="N22" s="4" t="s">
        <v>311</v>
      </c>
    </row>
    <row r="23" spans="1:14" ht="21.75" customHeight="1" x14ac:dyDescent="0.25">
      <c r="A23" s="2" t="s">
        <v>312</v>
      </c>
      <c r="B23" s="57">
        <f>'4_CarbonProjections'!B29</f>
        <v>0</v>
      </c>
      <c r="C23" s="57">
        <f>'4_CarbonProjections'!C29</f>
        <v>0</v>
      </c>
      <c r="D23" s="57">
        <f>'4_CarbonProjections'!D29</f>
        <v>579</v>
      </c>
      <c r="E23" s="57">
        <f>'4_CarbonProjections'!E29</f>
        <v>9024</v>
      </c>
      <c r="F23" s="57">
        <f>'4_CarbonProjections'!F29</f>
        <v>17807</v>
      </c>
      <c r="G23" s="57">
        <f>'4_CarbonProjections'!G29</f>
        <v>26938</v>
      </c>
      <c r="H23" s="57">
        <f>'4_CarbonProjections'!H29</f>
        <v>36428</v>
      </c>
      <c r="I23" s="57">
        <f>'4_CarbonProjections'!I29</f>
        <v>46285</v>
      </c>
      <c r="J23" s="57">
        <f>'4_CarbonProjections'!J29</f>
        <v>56522</v>
      </c>
      <c r="K23" s="57">
        <f>'4_CarbonProjections'!K29</f>
        <v>67151</v>
      </c>
      <c r="L23" s="39" t="s">
        <v>208</v>
      </c>
      <c r="N23" s="4" t="s">
        <v>313</v>
      </c>
    </row>
    <row r="24" spans="1:14" ht="21.75" customHeight="1" x14ac:dyDescent="0.25">
      <c r="A24" s="2" t="s">
        <v>314</v>
      </c>
      <c r="B24" s="58">
        <f>'4_CarbonProjections'!B30</f>
        <v>12</v>
      </c>
      <c r="C24" s="58">
        <f>'4_CarbonProjections'!C30</f>
        <v>12.600000000000001</v>
      </c>
      <c r="D24" s="58">
        <f>'4_CarbonProjections'!D30</f>
        <v>13.23</v>
      </c>
      <c r="E24" s="58">
        <f>'4_CarbonProjections'!E30</f>
        <v>13.891500000000001</v>
      </c>
      <c r="F24" s="58">
        <f>'4_CarbonProjections'!F30</f>
        <v>14.586075000000001</v>
      </c>
      <c r="G24" s="58">
        <f>'4_CarbonProjections'!G30</f>
        <v>15.315378750000001</v>
      </c>
      <c r="H24" s="58">
        <f>'4_CarbonProjections'!H30</f>
        <v>16.0811476875</v>
      </c>
      <c r="I24" s="58">
        <f>'4_CarbonProjections'!I30</f>
        <v>16.885205071875003</v>
      </c>
      <c r="J24" s="58">
        <f>'4_CarbonProjections'!J30</f>
        <v>17.729465325468752</v>
      </c>
      <c r="K24" s="58">
        <f>'4_CarbonProjections'!K30</f>
        <v>18.615938591742189</v>
      </c>
      <c r="L24" s="39" t="s">
        <v>208</v>
      </c>
      <c r="N24" s="4" t="s">
        <v>315</v>
      </c>
    </row>
  </sheetData>
  <mergeCells count="4">
    <mergeCell ref="A1:N1"/>
    <mergeCell ref="A2:N2"/>
    <mergeCell ref="A4:N4"/>
    <mergeCell ref="A16:N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topLeftCell="A12" zoomScaleNormal="100" workbookViewId="0">
      <selection activeCell="D26" sqref="D26"/>
    </sheetView>
  </sheetViews>
  <sheetFormatPr defaultColWidth="8.7109375" defaultRowHeight="15" x14ac:dyDescent="0.25"/>
  <cols>
    <col min="1" max="1" width="34" customWidth="1"/>
    <col min="2" max="7" width="18" customWidth="1"/>
  </cols>
  <sheetData>
    <row r="1" spans="1:7" ht="31.5" customHeight="1" x14ac:dyDescent="0.25">
      <c r="A1" s="66" t="s">
        <v>317</v>
      </c>
      <c r="B1" s="66"/>
      <c r="C1" s="66"/>
      <c r="D1" s="66"/>
      <c r="E1" s="66"/>
      <c r="F1" s="66"/>
      <c r="G1" s="66"/>
    </row>
    <row r="2" spans="1:7" ht="15" customHeight="1" x14ac:dyDescent="0.25">
      <c r="A2" s="71" t="s">
        <v>318</v>
      </c>
      <c r="B2" s="71"/>
      <c r="C2" s="71"/>
      <c r="D2" s="71"/>
      <c r="E2" s="71"/>
      <c r="F2" s="71"/>
      <c r="G2" s="71"/>
    </row>
    <row r="4" spans="1:7" ht="23.25" customHeight="1" x14ac:dyDescent="0.25">
      <c r="A4" s="14" t="s">
        <v>319</v>
      </c>
      <c r="B4" s="14" t="s">
        <v>320</v>
      </c>
      <c r="C4" s="14" t="s">
        <v>321</v>
      </c>
      <c r="D4" s="14" t="s">
        <v>322</v>
      </c>
      <c r="E4" s="14" t="s">
        <v>323</v>
      </c>
      <c r="F4" s="14" t="s">
        <v>324</v>
      </c>
      <c r="G4" s="14" t="s">
        <v>325</v>
      </c>
    </row>
    <row r="5" spans="1:7" ht="15" customHeight="1" x14ac:dyDescent="0.25">
      <c r="A5" s="2" t="s">
        <v>326</v>
      </c>
      <c r="B5" s="59" t="s">
        <v>327</v>
      </c>
      <c r="C5" s="59" t="s">
        <v>328</v>
      </c>
      <c r="D5" s="59" t="s">
        <v>329</v>
      </c>
      <c r="E5" s="59" t="s">
        <v>330</v>
      </c>
      <c r="F5" s="59" t="s">
        <v>331</v>
      </c>
      <c r="G5" s="59" t="s">
        <v>332</v>
      </c>
    </row>
    <row r="6" spans="1:7" ht="15" customHeight="1" x14ac:dyDescent="0.25">
      <c r="A6" s="2" t="s">
        <v>333</v>
      </c>
      <c r="B6" s="60" t="s">
        <v>334</v>
      </c>
      <c r="C6" s="60" t="s">
        <v>335</v>
      </c>
      <c r="D6" s="60" t="s">
        <v>335</v>
      </c>
      <c r="E6" s="60" t="s">
        <v>335</v>
      </c>
      <c r="F6" s="60" t="s">
        <v>335</v>
      </c>
      <c r="G6" s="60" t="s">
        <v>335</v>
      </c>
    </row>
    <row r="7" spans="1:7" ht="15" customHeight="1" x14ac:dyDescent="0.25">
      <c r="A7" s="2" t="s">
        <v>336</v>
      </c>
      <c r="B7" s="59" t="s">
        <v>337</v>
      </c>
      <c r="C7" s="59" t="s">
        <v>338</v>
      </c>
      <c r="D7" s="59" t="s">
        <v>339</v>
      </c>
      <c r="E7" s="59" t="s">
        <v>340</v>
      </c>
      <c r="F7" s="59" t="s">
        <v>341</v>
      </c>
      <c r="G7" s="59" t="s">
        <v>342</v>
      </c>
    </row>
    <row r="8" spans="1:7" ht="15" customHeight="1" x14ac:dyDescent="0.25">
      <c r="A8" s="2" t="s">
        <v>343</v>
      </c>
      <c r="B8" s="60" t="s">
        <v>344</v>
      </c>
      <c r="C8" s="60" t="s">
        <v>345</v>
      </c>
      <c r="D8" s="60" t="s">
        <v>346</v>
      </c>
      <c r="E8" s="60" t="s">
        <v>347</v>
      </c>
      <c r="F8" s="60" t="s">
        <v>348</v>
      </c>
      <c r="G8" s="60" t="s">
        <v>349</v>
      </c>
    </row>
    <row r="9" spans="1:7" ht="15" customHeight="1" x14ac:dyDescent="0.25">
      <c r="A9" s="2" t="s">
        <v>350</v>
      </c>
      <c r="B9" s="59" t="s">
        <v>351</v>
      </c>
      <c r="C9" s="59" t="s">
        <v>351</v>
      </c>
      <c r="D9" s="59" t="s">
        <v>351</v>
      </c>
      <c r="E9" s="59" t="s">
        <v>351</v>
      </c>
      <c r="F9" s="59" t="s">
        <v>351</v>
      </c>
      <c r="G9" s="59" t="s">
        <v>351</v>
      </c>
    </row>
    <row r="10" spans="1:7" ht="15" customHeight="1" x14ac:dyDescent="0.25">
      <c r="A10" s="2" t="s">
        <v>352</v>
      </c>
      <c r="B10" s="60" t="s">
        <v>353</v>
      </c>
      <c r="C10" s="60" t="s">
        <v>354</v>
      </c>
      <c r="D10" s="60" t="s">
        <v>355</v>
      </c>
      <c r="E10" s="60" t="s">
        <v>356</v>
      </c>
      <c r="F10" s="60" t="s">
        <v>357</v>
      </c>
      <c r="G10" s="60" t="s">
        <v>358</v>
      </c>
    </row>
    <row r="11" spans="1:7" ht="15" customHeight="1" x14ac:dyDescent="0.25">
      <c r="A11" s="2" t="s">
        <v>359</v>
      </c>
      <c r="B11" s="59" t="s">
        <v>360</v>
      </c>
      <c r="C11" s="59" t="s">
        <v>361</v>
      </c>
      <c r="D11" s="59" t="s">
        <v>362</v>
      </c>
      <c r="E11" s="59" t="s">
        <v>363</v>
      </c>
      <c r="F11" s="59" t="s">
        <v>364</v>
      </c>
      <c r="G11" s="59" t="s">
        <v>365</v>
      </c>
    </row>
    <row r="12" spans="1:7" ht="15" customHeight="1" x14ac:dyDescent="0.25">
      <c r="A12" s="2" t="s">
        <v>366</v>
      </c>
      <c r="B12" s="60" t="s">
        <v>367</v>
      </c>
      <c r="C12" s="60" t="s">
        <v>368</v>
      </c>
      <c r="D12" s="60" t="s">
        <v>369</v>
      </c>
      <c r="E12" s="60" t="s">
        <v>370</v>
      </c>
      <c r="F12" s="60" t="s">
        <v>371</v>
      </c>
      <c r="G12" s="60" t="s">
        <v>372</v>
      </c>
    </row>
    <row r="13" spans="1:7" ht="15" customHeight="1" x14ac:dyDescent="0.25">
      <c r="A13" s="2" t="s">
        <v>373</v>
      </c>
      <c r="B13" s="59" t="s">
        <v>374</v>
      </c>
      <c r="C13" s="59" t="s">
        <v>375</v>
      </c>
      <c r="D13" s="59" t="s">
        <v>376</v>
      </c>
      <c r="E13" s="59" t="s">
        <v>377</v>
      </c>
      <c r="F13" s="59" t="s">
        <v>378</v>
      </c>
      <c r="G13" s="59" t="s">
        <v>379</v>
      </c>
    </row>
    <row r="14" spans="1:7" ht="15" customHeight="1" x14ac:dyDescent="0.25">
      <c r="A14" s="2" t="s">
        <v>380</v>
      </c>
      <c r="B14" s="60" t="s">
        <v>381</v>
      </c>
      <c r="C14" s="60" t="s">
        <v>382</v>
      </c>
      <c r="D14" s="60" t="s">
        <v>383</v>
      </c>
      <c r="E14" s="60" t="s">
        <v>384</v>
      </c>
      <c r="F14" s="60" t="s">
        <v>385</v>
      </c>
      <c r="G14" s="60" t="s">
        <v>386</v>
      </c>
    </row>
    <row r="15" spans="1:7" ht="15" customHeight="1" x14ac:dyDescent="0.25">
      <c r="A15" s="2" t="s">
        <v>387</v>
      </c>
      <c r="B15" s="59" t="s">
        <v>388</v>
      </c>
      <c r="C15" s="59" t="s">
        <v>389</v>
      </c>
      <c r="D15" s="59" t="s">
        <v>390</v>
      </c>
      <c r="E15" s="59" t="s">
        <v>391</v>
      </c>
      <c r="F15" s="59" t="s">
        <v>392</v>
      </c>
      <c r="G15" s="59" t="s">
        <v>393</v>
      </c>
    </row>
    <row r="16" spans="1:7" ht="15" customHeight="1" x14ac:dyDescent="0.25">
      <c r="A16" s="2" t="s">
        <v>394</v>
      </c>
      <c r="B16" s="60" t="s">
        <v>395</v>
      </c>
      <c r="C16" s="60" t="s">
        <v>396</v>
      </c>
      <c r="D16" s="60" t="s">
        <v>397</v>
      </c>
      <c r="E16" s="60" t="s">
        <v>397</v>
      </c>
      <c r="F16" s="60" t="s">
        <v>398</v>
      </c>
      <c r="G16" s="60" t="s">
        <v>399</v>
      </c>
    </row>
    <row r="17" spans="1:7" ht="15" customHeight="1" x14ac:dyDescent="0.25">
      <c r="A17" s="2" t="s">
        <v>400</v>
      </c>
      <c r="B17" s="59" t="s">
        <v>401</v>
      </c>
      <c r="C17" s="59" t="s">
        <v>402</v>
      </c>
      <c r="D17" s="59" t="s">
        <v>403</v>
      </c>
      <c r="E17" s="59" t="s">
        <v>404</v>
      </c>
      <c r="F17" s="59" t="s">
        <v>405</v>
      </c>
      <c r="G17" s="59" t="s">
        <v>406</v>
      </c>
    </row>
    <row r="18" spans="1:7" ht="15" customHeight="1" x14ac:dyDescent="0.25">
      <c r="A18" s="2" t="s">
        <v>407</v>
      </c>
      <c r="B18" s="61" t="s">
        <v>408</v>
      </c>
      <c r="C18" s="62" t="s">
        <v>409</v>
      </c>
      <c r="D18" s="63" t="s">
        <v>410</v>
      </c>
      <c r="E18" s="63" t="s">
        <v>410</v>
      </c>
      <c r="F18" s="64" t="s">
        <v>411</v>
      </c>
      <c r="G18" s="64" t="s">
        <v>412</v>
      </c>
    </row>
    <row r="21" spans="1:7" ht="15" customHeight="1" x14ac:dyDescent="0.25">
      <c r="A21" s="74" t="s">
        <v>413</v>
      </c>
      <c r="B21" s="74"/>
      <c r="C21" s="74"/>
      <c r="D21" s="74"/>
      <c r="E21" s="74"/>
      <c r="F21" s="74"/>
      <c r="G21" s="74"/>
    </row>
    <row r="22" spans="1:7" ht="23.25" customHeight="1" x14ac:dyDescent="0.25">
      <c r="A22" s="14" t="s">
        <v>319</v>
      </c>
      <c r="B22" s="14" t="s">
        <v>414</v>
      </c>
      <c r="C22" s="14" t="s">
        <v>415</v>
      </c>
      <c r="D22" s="14" t="s">
        <v>416</v>
      </c>
      <c r="E22" s="14" t="s">
        <v>417</v>
      </c>
      <c r="F22" s="14" t="s">
        <v>418</v>
      </c>
      <c r="G22" s="14" t="s">
        <v>419</v>
      </c>
    </row>
    <row r="23" spans="1:7" ht="15" customHeight="1" x14ac:dyDescent="0.25">
      <c r="A23" s="2" t="s">
        <v>420</v>
      </c>
      <c r="B23" s="59" t="s">
        <v>421</v>
      </c>
      <c r="C23" s="59" t="s">
        <v>422</v>
      </c>
      <c r="D23" s="59" t="s">
        <v>423</v>
      </c>
      <c r="E23" s="59" t="s">
        <v>424</v>
      </c>
      <c r="F23" s="59" t="s">
        <v>425</v>
      </c>
      <c r="G23" s="59" t="s">
        <v>426</v>
      </c>
    </row>
    <row r="24" spans="1:7" ht="15" customHeight="1" x14ac:dyDescent="0.25">
      <c r="A24" s="2" t="s">
        <v>427</v>
      </c>
      <c r="B24" s="60" t="s">
        <v>428</v>
      </c>
      <c r="C24" s="60" t="s">
        <v>428</v>
      </c>
      <c r="D24" s="60" t="s">
        <v>429</v>
      </c>
      <c r="E24" s="60" t="s">
        <v>429</v>
      </c>
      <c r="F24" s="60" t="s">
        <v>430</v>
      </c>
      <c r="G24" s="60" t="s">
        <v>431</v>
      </c>
    </row>
    <row r="25" spans="1:7" ht="15" customHeight="1" x14ac:dyDescent="0.25">
      <c r="A25" s="2" t="s">
        <v>432</v>
      </c>
      <c r="B25" s="59" t="s">
        <v>433</v>
      </c>
      <c r="C25" s="59" t="s">
        <v>434</v>
      </c>
      <c r="D25" s="59" t="s">
        <v>435</v>
      </c>
      <c r="E25" s="59" t="s">
        <v>436</v>
      </c>
      <c r="F25" s="59" t="s">
        <v>425</v>
      </c>
      <c r="G25" s="59" t="s">
        <v>437</v>
      </c>
    </row>
    <row r="26" spans="1:7" ht="15" customHeight="1" x14ac:dyDescent="0.25">
      <c r="A26" s="2" t="s">
        <v>438</v>
      </c>
      <c r="B26" s="60" t="s">
        <v>383</v>
      </c>
      <c r="C26" s="60" t="s">
        <v>439</v>
      </c>
      <c r="D26" s="60" t="s">
        <v>385</v>
      </c>
      <c r="E26" s="60" t="s">
        <v>440</v>
      </c>
      <c r="F26" s="60" t="s">
        <v>441</v>
      </c>
      <c r="G26" s="60" t="s">
        <v>441</v>
      </c>
    </row>
    <row r="27" spans="1:7" ht="15" customHeight="1" x14ac:dyDescent="0.25">
      <c r="A27" s="2" t="s">
        <v>442</v>
      </c>
      <c r="B27" s="59" t="s">
        <v>443</v>
      </c>
      <c r="C27" s="59" t="s">
        <v>444</v>
      </c>
      <c r="D27" s="59" t="s">
        <v>445</v>
      </c>
      <c r="E27" s="59" t="s">
        <v>446</v>
      </c>
      <c r="F27" s="59" t="s">
        <v>447</v>
      </c>
      <c r="G27" s="59" t="s">
        <v>448</v>
      </c>
    </row>
    <row r="29" spans="1:7" ht="21.75" customHeight="1" x14ac:dyDescent="0.25">
      <c r="A29" s="69" t="s">
        <v>449</v>
      </c>
      <c r="B29" s="69"/>
      <c r="C29" s="69"/>
      <c r="D29" s="69"/>
      <c r="E29" s="69"/>
      <c r="F29" s="69"/>
      <c r="G29" s="69"/>
    </row>
  </sheetData>
  <mergeCells count="4">
    <mergeCell ref="A1:G1"/>
    <mergeCell ref="A2:G2"/>
    <mergeCell ref="A21:G21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1_Assumptions</vt:lpstr>
      <vt:lpstr>2_SpeciesMix</vt:lpstr>
      <vt:lpstr>3_CostProjections</vt:lpstr>
      <vt:lpstr>4_CarbonProjections</vt:lpstr>
      <vt:lpstr>5_Revenue_PnL</vt:lpstr>
      <vt:lpstr>6_ScenarioComparison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Mihir Prajapati</cp:lastModifiedBy>
  <cp:revision>0</cp:revision>
  <dcterms:created xsi:type="dcterms:W3CDTF">2026-04-08T09:07:50Z</dcterms:created>
  <dcterms:modified xsi:type="dcterms:W3CDTF">2026-04-08T09:26:57Z</dcterms:modified>
  <dc:language>en-US</dc:language>
</cp:coreProperties>
</file>