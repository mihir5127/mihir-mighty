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kdngva-my.sharepoint.com/personal/srajesh_gupta_akdn_org/Documents/Attachments/"/>
    </mc:Choice>
  </mc:AlternateContent>
  <xr:revisionPtr revIDLastSave="0" documentId="8_{613E9B8D-8580-7646-8E63-D456AFA79A6B}" xr6:coauthVersionLast="47" xr6:coauthVersionMax="47" xr10:uidLastSave="{00000000-0000-0000-0000-000000000000}"/>
  <bookViews>
    <workbookView xWindow="-110" yWindow="-110" windowWidth="19420" windowHeight="11500" firstSheet="2" activeTab="2" xr2:uid="{7AE93C8C-7563-4246-A885-51E864A95801}"/>
  </bookViews>
  <sheets>
    <sheet name="Sheet1" sheetId="1" r:id="rId1"/>
    <sheet name="Input_Agri_srajesh" sheetId="2" r:id="rId2"/>
    <sheet name="Projection_Agri_Srajesh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" l="1"/>
  <c r="J16" i="2"/>
  <c r="K25" i="2"/>
  <c r="C4" i="3"/>
  <c r="E15" i="3"/>
  <c r="F15" i="3"/>
  <c r="G15" i="3"/>
  <c r="I15" i="3"/>
  <c r="K15" i="3"/>
  <c r="M15" i="3"/>
  <c r="O15" i="3"/>
  <c r="Q15" i="3"/>
  <c r="S15" i="3"/>
  <c r="U15" i="3"/>
  <c r="W15" i="3"/>
  <c r="Y15" i="3"/>
  <c r="AA15" i="3"/>
  <c r="D15" i="3"/>
  <c r="D11" i="3"/>
  <c r="D36" i="3"/>
  <c r="C36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D35" i="3"/>
  <c r="D34" i="3"/>
  <c r="C34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D33" i="3"/>
  <c r="AA32" i="3"/>
  <c r="Y32" i="3"/>
  <c r="W32" i="3"/>
  <c r="U32" i="3"/>
  <c r="S32" i="3"/>
  <c r="Q32" i="3"/>
  <c r="O32" i="3"/>
  <c r="M32" i="3"/>
  <c r="K32" i="3"/>
  <c r="I32" i="3"/>
  <c r="G32" i="3"/>
  <c r="F32" i="3"/>
  <c r="E32" i="3"/>
  <c r="D32" i="3"/>
  <c r="E28" i="3"/>
  <c r="F28" i="3"/>
  <c r="G28" i="3"/>
  <c r="I28" i="3"/>
  <c r="J28" i="3"/>
  <c r="K28" i="3"/>
  <c r="M28" i="3"/>
  <c r="N28" i="3"/>
  <c r="O28" i="3"/>
  <c r="Q28" i="3"/>
  <c r="R28" i="3"/>
  <c r="S28" i="3"/>
  <c r="U28" i="3"/>
  <c r="V28" i="3"/>
  <c r="W28" i="3"/>
  <c r="Y28" i="3"/>
  <c r="Z28" i="3"/>
  <c r="AA28" i="3"/>
  <c r="E10" i="3"/>
  <c r="F10" i="3"/>
  <c r="F11" i="3"/>
  <c r="E5" i="3"/>
  <c r="E6" i="3"/>
  <c r="E49" i="3"/>
  <c r="F5" i="3"/>
  <c r="F6" i="3"/>
  <c r="F49" i="3"/>
  <c r="G5" i="3"/>
  <c r="G6" i="3"/>
  <c r="G49" i="3"/>
  <c r="H5" i="3"/>
  <c r="I5" i="3"/>
  <c r="J5" i="3"/>
  <c r="J6" i="3"/>
  <c r="J49" i="3"/>
  <c r="K5" i="3"/>
  <c r="K6" i="3"/>
  <c r="K49" i="3"/>
  <c r="L5" i="3"/>
  <c r="L6" i="3"/>
  <c r="L49" i="3"/>
  <c r="M5" i="3"/>
  <c r="M6" i="3"/>
  <c r="M49" i="3"/>
  <c r="N5" i="3"/>
  <c r="N6" i="3"/>
  <c r="N49" i="3"/>
  <c r="O5" i="3"/>
  <c r="O6" i="3"/>
  <c r="O49" i="3"/>
  <c r="P5" i="3"/>
  <c r="P6" i="3"/>
  <c r="P49" i="3"/>
  <c r="Q5" i="3"/>
  <c r="Q6" i="3"/>
  <c r="Q49" i="3"/>
  <c r="R5" i="3"/>
  <c r="R6" i="3"/>
  <c r="R49" i="3"/>
  <c r="S5" i="3"/>
  <c r="S6" i="3"/>
  <c r="S49" i="3"/>
  <c r="T5" i="3"/>
  <c r="T6" i="3"/>
  <c r="T49" i="3"/>
  <c r="U5" i="3"/>
  <c r="U6" i="3"/>
  <c r="U49" i="3"/>
  <c r="V5" i="3"/>
  <c r="V6" i="3"/>
  <c r="V49" i="3"/>
  <c r="W5" i="3"/>
  <c r="W6" i="3"/>
  <c r="W49" i="3"/>
  <c r="X5" i="3"/>
  <c r="Y5" i="3"/>
  <c r="Z5" i="3"/>
  <c r="Z6" i="3"/>
  <c r="Z49" i="3"/>
  <c r="AA5" i="3"/>
  <c r="AA6" i="3"/>
  <c r="AA49" i="3"/>
  <c r="AB5" i="3"/>
  <c r="AB6" i="3"/>
  <c r="AB49" i="3"/>
  <c r="AC5" i="3"/>
  <c r="AC6" i="3"/>
  <c r="AC49" i="3"/>
  <c r="AC37" i="3"/>
  <c r="D5" i="3"/>
  <c r="D6" i="3"/>
  <c r="D49" i="3"/>
  <c r="G25" i="2"/>
  <c r="F23" i="2"/>
  <c r="F22" i="2"/>
  <c r="F21" i="2"/>
  <c r="F20" i="2"/>
  <c r="F19" i="2"/>
  <c r="G18" i="2"/>
  <c r="G16" i="2"/>
  <c r="G17" i="2"/>
  <c r="G15" i="2"/>
  <c r="G14" i="2"/>
  <c r="D28" i="3"/>
  <c r="J14" i="2"/>
  <c r="G13" i="2"/>
  <c r="G12" i="2"/>
  <c r="D26" i="3"/>
  <c r="G11" i="2"/>
  <c r="D25" i="3"/>
  <c r="C25" i="3"/>
  <c r="G10" i="2"/>
  <c r="D24" i="3"/>
  <c r="C24" i="3"/>
  <c r="D42" i="1"/>
  <c r="C42" i="1"/>
  <c r="E42" i="1"/>
  <c r="D33" i="1"/>
  <c r="D34" i="1"/>
  <c r="E34" i="1"/>
  <c r="D35" i="1"/>
  <c r="D36" i="1"/>
  <c r="D37" i="1"/>
  <c r="E37" i="1"/>
  <c r="D38" i="1"/>
  <c r="D39" i="1"/>
  <c r="D40" i="1"/>
  <c r="D41" i="1"/>
  <c r="D32" i="1"/>
  <c r="C33" i="1"/>
  <c r="C34" i="1"/>
  <c r="C35" i="1"/>
  <c r="C36" i="1"/>
  <c r="C37" i="1"/>
  <c r="C38" i="1"/>
  <c r="C39" i="1"/>
  <c r="C40" i="1"/>
  <c r="C41" i="1"/>
  <c r="C32" i="1"/>
  <c r="G12" i="1"/>
  <c r="H12" i="1"/>
  <c r="G13" i="1"/>
  <c r="G14" i="1"/>
  <c r="G15" i="1"/>
  <c r="G16" i="1"/>
  <c r="G17" i="1"/>
  <c r="G18" i="1"/>
  <c r="G19" i="1"/>
  <c r="G11" i="1"/>
  <c r="F12" i="1"/>
  <c r="F13" i="1"/>
  <c r="F14" i="1"/>
  <c r="F15" i="1"/>
  <c r="F16" i="1"/>
  <c r="F17" i="1"/>
  <c r="H17" i="1"/>
  <c r="F18" i="1"/>
  <c r="F19" i="1"/>
  <c r="F20" i="1"/>
  <c r="F11" i="1"/>
  <c r="E44" i="1"/>
  <c r="D43" i="1"/>
  <c r="B42" i="1"/>
  <c r="E33" i="1"/>
  <c r="E35" i="1"/>
  <c r="E36" i="1"/>
  <c r="E38" i="1"/>
  <c r="E39" i="1"/>
  <c r="E40" i="1"/>
  <c r="E41" i="1"/>
  <c r="B35" i="1"/>
  <c r="B36" i="1"/>
  <c r="B37" i="1"/>
  <c r="B38" i="1"/>
  <c r="B39" i="1"/>
  <c r="B40" i="1"/>
  <c r="B41" i="1"/>
  <c r="B34" i="1"/>
  <c r="H13" i="1"/>
  <c r="H14" i="1"/>
  <c r="H15" i="1"/>
  <c r="H16" i="1"/>
  <c r="H11" i="1"/>
  <c r="E20" i="1"/>
  <c r="D13" i="1"/>
  <c r="D14" i="1"/>
  <c r="D15" i="1"/>
  <c r="D16" i="1"/>
  <c r="D17" i="1"/>
  <c r="D18" i="1"/>
  <c r="D19" i="1"/>
  <c r="D12" i="1"/>
  <c r="Q7" i="3"/>
  <c r="R7" i="3"/>
  <c r="N7" i="3"/>
  <c r="Z7" i="3"/>
  <c r="J7" i="3"/>
  <c r="G7" i="3"/>
  <c r="V7" i="3"/>
  <c r="F7" i="3"/>
  <c r="F13" i="3"/>
  <c r="P7" i="3"/>
  <c r="M7" i="3"/>
  <c r="AB7" i="3"/>
  <c r="K7" i="3"/>
  <c r="W7" i="3"/>
  <c r="U7" i="3"/>
  <c r="E7" i="3"/>
  <c r="E13" i="3"/>
  <c r="T7" i="3"/>
  <c r="O7" i="3"/>
  <c r="D7" i="3"/>
  <c r="AC7" i="3"/>
  <c r="L7" i="3"/>
  <c r="AA7" i="3"/>
  <c r="S7" i="3"/>
  <c r="Y38" i="3"/>
  <c r="I38" i="3"/>
  <c r="X38" i="3"/>
  <c r="H38" i="3"/>
  <c r="C33" i="3"/>
  <c r="C35" i="3"/>
  <c r="C5" i="3"/>
  <c r="E11" i="3"/>
  <c r="E38" i="3"/>
  <c r="R37" i="3"/>
  <c r="U38" i="3"/>
  <c r="P38" i="3"/>
  <c r="R38" i="3"/>
  <c r="Q38" i="3"/>
  <c r="N38" i="3"/>
  <c r="M38" i="3"/>
  <c r="AA38" i="3"/>
  <c r="K38" i="3"/>
  <c r="J38" i="3"/>
  <c r="T38" i="3"/>
  <c r="S38" i="3"/>
  <c r="O38" i="3"/>
  <c r="D38" i="3"/>
  <c r="AC38" i="3"/>
  <c r="D27" i="3"/>
  <c r="D39" i="3"/>
  <c r="D40" i="3"/>
  <c r="AB38" i="3"/>
  <c r="L38" i="3"/>
  <c r="Z38" i="3"/>
  <c r="W38" i="3"/>
  <c r="G38" i="3"/>
  <c r="V38" i="3"/>
  <c r="F38" i="3"/>
  <c r="V37" i="3"/>
  <c r="F27" i="3"/>
  <c r="F39" i="3"/>
  <c r="F40" i="3"/>
  <c r="T37" i="3"/>
  <c r="N37" i="3"/>
  <c r="AB37" i="3"/>
  <c r="P37" i="3"/>
  <c r="L37" i="3"/>
  <c r="D29" i="3"/>
  <c r="D30" i="3"/>
  <c r="E27" i="3"/>
  <c r="E39" i="3"/>
  <c r="E40" i="3"/>
  <c r="E30" i="3"/>
  <c r="D31" i="3"/>
  <c r="C31" i="3"/>
  <c r="Y6" i="3"/>
  <c r="Y7" i="3"/>
  <c r="X6" i="3"/>
  <c r="X7" i="3"/>
  <c r="I6" i="3"/>
  <c r="I7" i="3"/>
  <c r="H6" i="3"/>
  <c r="H7" i="3"/>
  <c r="G10" i="3"/>
  <c r="F26" i="3"/>
  <c r="F29" i="3"/>
  <c r="E29" i="3"/>
  <c r="E26" i="3"/>
  <c r="F30" i="3"/>
  <c r="E32" i="1"/>
  <c r="G20" i="1"/>
  <c r="G21" i="1"/>
  <c r="H18" i="1"/>
  <c r="H19" i="1"/>
  <c r="H20" i="1"/>
  <c r="H23" i="1"/>
  <c r="D13" i="3"/>
  <c r="C7" i="3"/>
  <c r="C6" i="3"/>
  <c r="C38" i="3"/>
  <c r="G11" i="3"/>
  <c r="G13" i="3"/>
  <c r="X49" i="3"/>
  <c r="X37" i="3"/>
  <c r="Y49" i="3"/>
  <c r="Z37" i="3"/>
  <c r="H49" i="3"/>
  <c r="H37" i="3"/>
  <c r="I49" i="3"/>
  <c r="J37" i="3"/>
  <c r="H10" i="3"/>
  <c r="G26" i="3"/>
  <c r="G27" i="3"/>
  <c r="G39" i="3"/>
  <c r="G40" i="3"/>
  <c r="G30" i="3"/>
  <c r="G29" i="3"/>
  <c r="C37" i="3"/>
  <c r="H32" i="3"/>
  <c r="H11" i="3"/>
  <c r="H13" i="3"/>
  <c r="D16" i="3"/>
  <c r="F16" i="3"/>
  <c r="F17" i="3"/>
  <c r="F18" i="3"/>
  <c r="F19" i="3"/>
  <c r="E16" i="3"/>
  <c r="E17" i="3"/>
  <c r="E18" i="3"/>
  <c r="E19" i="3"/>
  <c r="I10" i="3"/>
  <c r="H28" i="3"/>
  <c r="H26" i="3"/>
  <c r="H27" i="3"/>
  <c r="H39" i="3"/>
  <c r="H40" i="3"/>
  <c r="H30" i="3"/>
  <c r="H29" i="3"/>
  <c r="D17" i="3"/>
  <c r="D18" i="3"/>
  <c r="D19" i="3"/>
  <c r="H14" i="3"/>
  <c r="H15" i="3"/>
  <c r="I11" i="3"/>
  <c r="I13" i="3"/>
  <c r="G16" i="3"/>
  <c r="G17" i="3"/>
  <c r="G18" i="3"/>
  <c r="G19" i="3"/>
  <c r="J10" i="3"/>
  <c r="J11" i="3"/>
  <c r="J13" i="3"/>
  <c r="I26" i="3"/>
  <c r="I29" i="3"/>
  <c r="I30" i="3"/>
  <c r="I27" i="3"/>
  <c r="I39" i="3"/>
  <c r="I40" i="3"/>
  <c r="J14" i="3"/>
  <c r="J15" i="3"/>
  <c r="H16" i="3"/>
  <c r="J32" i="3"/>
  <c r="J27" i="3"/>
  <c r="J39" i="3"/>
  <c r="J40" i="3"/>
  <c r="J30" i="3"/>
  <c r="K10" i="3"/>
  <c r="J26" i="3"/>
  <c r="J29" i="3"/>
  <c r="H17" i="3"/>
  <c r="H18" i="3"/>
  <c r="H19" i="3"/>
  <c r="K11" i="3"/>
  <c r="K13" i="3"/>
  <c r="I16" i="3"/>
  <c r="I17" i="3"/>
  <c r="I18" i="3"/>
  <c r="I19" i="3"/>
  <c r="K27" i="3"/>
  <c r="K39" i="3"/>
  <c r="K40" i="3"/>
  <c r="K30" i="3"/>
  <c r="L10" i="3"/>
  <c r="L11" i="3"/>
  <c r="L13" i="3"/>
  <c r="K26" i="3"/>
  <c r="K29" i="3"/>
  <c r="L14" i="3"/>
  <c r="L15" i="3"/>
  <c r="J16" i="3"/>
  <c r="J17" i="3"/>
  <c r="J18" i="3"/>
  <c r="J19" i="3"/>
  <c r="L32" i="3"/>
  <c r="L27" i="3"/>
  <c r="L39" i="3"/>
  <c r="L40" i="3"/>
  <c r="L30" i="3"/>
  <c r="M10" i="3"/>
  <c r="L28" i="3"/>
  <c r="L26" i="3"/>
  <c r="C26" i="3"/>
  <c r="L29" i="3"/>
  <c r="M11" i="3"/>
  <c r="M13" i="3"/>
  <c r="K16" i="3"/>
  <c r="K17" i="3"/>
  <c r="K18" i="3"/>
  <c r="K19" i="3"/>
  <c r="N10" i="3"/>
  <c r="N11" i="3"/>
  <c r="N13" i="3"/>
  <c r="M27" i="3"/>
  <c r="M39" i="3"/>
  <c r="M40" i="3"/>
  <c r="M30" i="3"/>
  <c r="M29" i="3"/>
  <c r="N14" i="3"/>
  <c r="N15" i="3"/>
  <c r="L16" i="3"/>
  <c r="L17" i="3"/>
  <c r="L18" i="3"/>
  <c r="L19" i="3"/>
  <c r="N32" i="3"/>
  <c r="O10" i="3"/>
  <c r="N27" i="3"/>
  <c r="N39" i="3"/>
  <c r="N40" i="3"/>
  <c r="N30" i="3"/>
  <c r="N29" i="3"/>
  <c r="O11" i="3"/>
  <c r="O13" i="3"/>
  <c r="M16" i="3"/>
  <c r="M17" i="3"/>
  <c r="M18" i="3"/>
  <c r="M19" i="3"/>
  <c r="N16" i="3"/>
  <c r="N17" i="3"/>
  <c r="N18" i="3"/>
  <c r="N19" i="3"/>
  <c r="P10" i="3"/>
  <c r="P11" i="3"/>
  <c r="P13" i="3"/>
  <c r="O27" i="3"/>
  <c r="O39" i="3"/>
  <c r="O40" i="3"/>
  <c r="O30" i="3"/>
  <c r="O29" i="3"/>
  <c r="P14" i="3"/>
  <c r="P15" i="3"/>
  <c r="O16" i="3"/>
  <c r="O17" i="3"/>
  <c r="O18" i="3"/>
  <c r="O19" i="3"/>
  <c r="P32" i="3"/>
  <c r="Q10" i="3"/>
  <c r="P27" i="3"/>
  <c r="P39" i="3"/>
  <c r="P40" i="3"/>
  <c r="P30" i="3"/>
  <c r="P28" i="3"/>
  <c r="P29" i="3"/>
  <c r="Q11" i="3"/>
  <c r="Q13" i="3"/>
  <c r="P16" i="3"/>
  <c r="P17" i="3"/>
  <c r="P18" i="3"/>
  <c r="P19" i="3"/>
  <c r="R10" i="3"/>
  <c r="R11" i="3"/>
  <c r="R13" i="3"/>
  <c r="Q27" i="3"/>
  <c r="Q39" i="3"/>
  <c r="Q40" i="3"/>
  <c r="Q30" i="3"/>
  <c r="Q29" i="3"/>
  <c r="R14" i="3"/>
  <c r="R15" i="3"/>
  <c r="R32" i="3"/>
  <c r="S10" i="3"/>
  <c r="R27" i="3"/>
  <c r="R39" i="3"/>
  <c r="R40" i="3"/>
  <c r="R30" i="3"/>
  <c r="R29" i="3"/>
  <c r="S11" i="3"/>
  <c r="S13" i="3"/>
  <c r="Q16" i="3"/>
  <c r="Q17" i="3"/>
  <c r="Q18" i="3"/>
  <c r="Q19" i="3"/>
  <c r="T10" i="3"/>
  <c r="T11" i="3"/>
  <c r="T13" i="3"/>
  <c r="S27" i="3"/>
  <c r="S39" i="3"/>
  <c r="S40" i="3"/>
  <c r="S30" i="3"/>
  <c r="S29" i="3"/>
  <c r="T14" i="3"/>
  <c r="T15" i="3"/>
  <c r="R16" i="3"/>
  <c r="R17" i="3"/>
  <c r="R18" i="3"/>
  <c r="R19" i="3"/>
  <c r="T32" i="3"/>
  <c r="U10" i="3"/>
  <c r="T28" i="3"/>
  <c r="T27" i="3"/>
  <c r="T39" i="3"/>
  <c r="T40" i="3"/>
  <c r="T30" i="3"/>
  <c r="T29" i="3"/>
  <c r="U11" i="3"/>
  <c r="U13" i="3"/>
  <c r="S16" i="3"/>
  <c r="S17" i="3"/>
  <c r="S18" i="3"/>
  <c r="S19" i="3"/>
  <c r="T16" i="3"/>
  <c r="T17" i="3"/>
  <c r="T18" i="3"/>
  <c r="T19" i="3"/>
  <c r="V10" i="3"/>
  <c r="V11" i="3"/>
  <c r="V13" i="3"/>
  <c r="U27" i="3"/>
  <c r="U39" i="3"/>
  <c r="U40" i="3"/>
  <c r="U30" i="3"/>
  <c r="U29" i="3"/>
  <c r="V14" i="3"/>
  <c r="V15" i="3"/>
  <c r="V32" i="3"/>
  <c r="W10" i="3"/>
  <c r="V27" i="3"/>
  <c r="V39" i="3"/>
  <c r="V40" i="3"/>
  <c r="V29" i="3"/>
  <c r="V30" i="3"/>
  <c r="W11" i="3"/>
  <c r="W13" i="3"/>
  <c r="U16" i="3"/>
  <c r="U17" i="3"/>
  <c r="U18" i="3"/>
  <c r="U19" i="3"/>
  <c r="V16" i="3"/>
  <c r="V17" i="3"/>
  <c r="V18" i="3"/>
  <c r="V19" i="3"/>
  <c r="X10" i="3"/>
  <c r="X11" i="3"/>
  <c r="X13" i="3"/>
  <c r="W27" i="3"/>
  <c r="W39" i="3"/>
  <c r="W40" i="3"/>
  <c r="W29" i="3"/>
  <c r="W30" i="3"/>
  <c r="X14" i="3"/>
  <c r="X15" i="3"/>
  <c r="X32" i="3"/>
  <c r="Y10" i="3"/>
  <c r="X28" i="3"/>
  <c r="X27" i="3"/>
  <c r="X39" i="3"/>
  <c r="X40" i="3"/>
  <c r="X30" i="3"/>
  <c r="X29" i="3"/>
  <c r="Y11" i="3"/>
  <c r="Y13" i="3"/>
  <c r="W16" i="3"/>
  <c r="W17" i="3"/>
  <c r="W18" i="3"/>
  <c r="W19" i="3"/>
  <c r="X16" i="3"/>
  <c r="X17" i="3"/>
  <c r="X18" i="3"/>
  <c r="X19" i="3"/>
  <c r="Z10" i="3"/>
  <c r="Z11" i="3"/>
  <c r="Z13" i="3"/>
  <c r="Y27" i="3"/>
  <c r="Y39" i="3"/>
  <c r="Y40" i="3"/>
  <c r="Y30" i="3"/>
  <c r="Y29" i="3"/>
  <c r="Z14" i="3"/>
  <c r="Z15" i="3"/>
  <c r="Z32" i="3"/>
  <c r="AA10" i="3"/>
  <c r="Z27" i="3"/>
  <c r="Z39" i="3"/>
  <c r="Z40" i="3"/>
  <c r="Z30" i="3"/>
  <c r="Z29" i="3"/>
  <c r="AA11" i="3"/>
  <c r="AA13" i="3"/>
  <c r="Y16" i="3"/>
  <c r="Y17" i="3"/>
  <c r="Y18" i="3"/>
  <c r="Y19" i="3"/>
  <c r="Z16" i="3"/>
  <c r="Z17" i="3"/>
  <c r="Z18" i="3"/>
  <c r="Z19" i="3"/>
  <c r="AB10" i="3"/>
  <c r="AB11" i="3"/>
  <c r="AB13" i="3"/>
  <c r="AA27" i="3"/>
  <c r="AA39" i="3"/>
  <c r="AA40" i="3"/>
  <c r="AA30" i="3"/>
  <c r="AA29" i="3"/>
  <c r="AB14" i="3"/>
  <c r="AB15" i="3"/>
  <c r="AA16" i="3"/>
  <c r="AA17" i="3"/>
  <c r="AA18" i="3"/>
  <c r="AA19" i="3"/>
  <c r="AB32" i="3"/>
  <c r="AC10" i="3"/>
  <c r="AC11" i="3"/>
  <c r="AC13" i="3"/>
  <c r="AB27" i="3"/>
  <c r="AB39" i="3"/>
  <c r="AB40" i="3"/>
  <c r="AB30" i="3"/>
  <c r="AB28" i="3"/>
  <c r="AB29" i="3"/>
  <c r="C13" i="3"/>
  <c r="C11" i="3"/>
  <c r="AC14" i="3"/>
  <c r="AC15" i="3"/>
  <c r="C15" i="3"/>
  <c r="AC32" i="3"/>
  <c r="C32" i="3"/>
  <c r="AC27" i="3"/>
  <c r="AC30" i="3"/>
  <c r="C30" i="3"/>
  <c r="AC28" i="3"/>
  <c r="C28" i="3"/>
  <c r="AC29" i="3"/>
  <c r="C29" i="3"/>
  <c r="C27" i="3"/>
  <c r="AC39" i="3"/>
  <c r="AC40" i="3"/>
  <c r="C40" i="3"/>
  <c r="AB16" i="3"/>
  <c r="AB17" i="3"/>
  <c r="AB18" i="3"/>
  <c r="AB19" i="3"/>
  <c r="C39" i="3"/>
  <c r="AC16" i="3"/>
  <c r="AC17" i="3"/>
  <c r="AC18" i="3"/>
  <c r="C16" i="3"/>
  <c r="C18" i="3"/>
  <c r="AC19" i="3"/>
  <c r="C19" i="3"/>
  <c r="C20" i="3"/>
</calcChain>
</file>

<file path=xl/sharedStrings.xml><?xml version="1.0" encoding="utf-8"?>
<sst xmlns="http://schemas.openxmlformats.org/spreadsheetml/2006/main" count="253" uniqueCount="187">
  <si>
    <t>BCI Project - Regenerative Cotton Farming</t>
  </si>
  <si>
    <t>USD $20.46m over 9 years - implementation and MRV costs</t>
  </si>
  <si>
    <t>(Question: what are costs over the following ~20 years for MRV / maintenance?)</t>
  </si>
  <si>
    <t>300,000 farmers</t>
  </si>
  <si>
    <t xml:space="preserve">Regenerative farming - tC02 generated per hectare: First 5 years: avg 1.1; next 6-20 years avg 5. Highly variable. </t>
  </si>
  <si>
    <t>300000 hectares (?)</t>
  </si>
  <si>
    <t>Average credit price $16/t, highly variable</t>
  </si>
  <si>
    <r>
      <t>Year</t>
    </r>
    <r>
      <rPr>
        <sz val="10"/>
        <rFont val="Arial"/>
        <family val="2"/>
      </rPr>
      <t> </t>
    </r>
  </si>
  <si>
    <r>
      <t>FY</t>
    </r>
    <r>
      <rPr>
        <sz val="10"/>
        <rFont val="Arial"/>
        <family val="2"/>
      </rPr>
      <t> </t>
    </r>
  </si>
  <si>
    <r>
      <t>Farmers/ hectares</t>
    </r>
    <r>
      <rPr>
        <sz val="10"/>
        <rFont val="Arial"/>
        <family val="2"/>
      </rPr>
      <t> total</t>
    </r>
  </si>
  <si>
    <r>
      <t>Farmers/ hectares</t>
    </r>
    <r>
      <rPr>
        <sz val="10"/>
        <rFont val="Arial"/>
        <family val="2"/>
      </rPr>
      <t> new</t>
    </r>
  </si>
  <si>
    <r>
      <t>Total (US$ m)</t>
    </r>
    <r>
      <rPr>
        <sz val="10"/>
        <rFont val="Arial"/>
        <family val="2"/>
      </rPr>
      <t> </t>
    </r>
  </si>
  <si>
    <t>tC02   
Y1-5 (total for 5 years)</t>
  </si>
  <si>
    <t>tC02 
Y6-20 (total for 15 years)</t>
  </si>
  <si>
    <t>Value of credits generated ($16/t)</t>
  </si>
  <si>
    <t>Y0 </t>
  </si>
  <si>
    <t>FY2026 </t>
  </si>
  <si>
    <t>Y1 </t>
  </si>
  <si>
    <t>FY2027 </t>
  </si>
  <si>
    <t>Y2 </t>
  </si>
  <si>
    <t>FY2028 </t>
  </si>
  <si>
    <t>Y3 </t>
  </si>
  <si>
    <t>FY2029 </t>
  </si>
  <si>
    <t>Y4 </t>
  </si>
  <si>
    <t>FY2030 </t>
  </si>
  <si>
    <t>Y5 </t>
  </si>
  <si>
    <t>FY2031 </t>
  </si>
  <si>
    <t>Y6 </t>
  </si>
  <si>
    <t>FY2032 </t>
  </si>
  <si>
    <t>Y7 </t>
  </si>
  <si>
    <t>FY2033 </t>
  </si>
  <si>
    <t>Y8 </t>
  </si>
  <si>
    <t>FY2034 </t>
  </si>
  <si>
    <t>Total</t>
  </si>
  <si>
    <t>Total tC02 by end of 25 years for all farmers</t>
  </si>
  <si>
    <t>Revenue minus implementation cost</t>
  </si>
  <si>
    <t xml:space="preserve">What are additional costs not incl here? </t>
  </si>
  <si>
    <t>Hypothetical tree planting programme</t>
  </si>
  <si>
    <t>$10,000,000</t>
  </si>
  <si>
    <t>ARR Removals est Y1-5: 1-3/ha (avg 2); Y6-20: 3-12/ha (avg. 7.5)</t>
  </si>
  <si>
    <t>38,000 ha estimate</t>
  </si>
  <si>
    <t>Avg price $10/t</t>
  </si>
  <si>
    <t>*These costs are highly estimated, and likely don't take into account additional costs related to a carbon project)</t>
  </si>
  <si>
    <t>Year</t>
  </si>
  <si>
    <t>Hectares</t>
  </si>
  <si>
    <t>tC02 Y1-5</t>
  </si>
  <si>
    <t>tC02 Y6-20</t>
  </si>
  <si>
    <t>Value of credits generated ($10/t)</t>
  </si>
  <si>
    <t>Total tC02 at end of 25 years for all plantations (Y35)</t>
  </si>
  <si>
    <t>Revenue minus cost of implementation</t>
  </si>
  <si>
    <t xml:space="preserve">What additional costs need to be taken into account? </t>
  </si>
  <si>
    <t>Dollar to Rupee</t>
  </si>
  <si>
    <t>Y0 Farmer</t>
  </si>
  <si>
    <t>Avg Ha</t>
  </si>
  <si>
    <t xml:space="preserve">Inflation </t>
  </si>
  <si>
    <t>Credits issuance/ha</t>
  </si>
  <si>
    <t>Starting Price</t>
  </si>
  <si>
    <t>Profit Sharing</t>
  </si>
  <si>
    <t>#</t>
  </si>
  <si>
    <t>Cost Head</t>
  </si>
  <si>
    <t>What’s Included</t>
  </si>
  <si>
    <t>Freq.</t>
  </si>
  <si>
    <t>Unit</t>
  </si>
  <si>
    <t>Assumption (INR)</t>
  </si>
  <si>
    <t>USD (≈)</t>
  </si>
  <si>
    <t>Notes / Drivers</t>
  </si>
  <si>
    <t>Project design &amp; feasibility</t>
  </si>
  <si>
    <t>Inception, theory of change, stakeholder mapping, financial model</t>
  </si>
  <si>
    <t>O</t>
  </si>
  <si>
    <t>Fixed</t>
  </si>
  <si>
    <t>Economies of scale → lower at ≥25k ha</t>
  </si>
  <si>
    <t>Methodology selection &amp; PD/PD addendum drafting</t>
  </si>
  <si>
    <t>Method screen, applicability checks, leakage risk analysis</t>
  </si>
  <si>
    <t>Varies with standard and baseline complexity</t>
  </si>
  <si>
    <t>Legal &amp; farmer onboarding, Plot delineation &amp; GIS</t>
  </si>
  <si>
    <t>Contracts, consent, KYC, plot mapping, grievance mechanism, GPS/parcel mapping, shapefiles, QA/QC</t>
  </si>
  <si>
    <t>/farmer</t>
  </si>
  <si>
    <t>Convert to /ha by avg. holding size (e.g., 1.2 ha)</t>
  </si>
  <si>
    <t>Community engagement &amp; training + input incentives + Field staff &amp; extension (Assumed from current BCI Project)</t>
  </si>
  <si>
    <t>FFS/ToT, agronomy advisory content, IEC, Input support (e.g., cover crop seed, compost), small tools, FOs, agronomists, supervision, travel</t>
  </si>
  <si>
    <t>R</t>
  </si>
  <si>
    <t>/ha</t>
  </si>
  <si>
    <t>Lower with digital delivery; higher for dispersed villages</t>
  </si>
  <si>
    <t>Soil sampling &amp; Lab analysis (SOC)</t>
  </si>
  <si>
    <t>Design, field sampling (0–30 cm), consumables, Dry combustion (LECO/Elemental Analyzer), bulk density</t>
  </si>
  <si>
    <t>O (Year 0) &amp; periodic (3 yrs)</t>
  </si>
  <si>
    <t>/sample</t>
  </si>
  <si>
    <t xml:space="preserve">Assumed 6% from current project heterogenity </t>
  </si>
  <si>
    <t>Remote sensing &amp; modeling</t>
  </si>
  <si>
    <t>Activity data, cover/tillage proxies, rainfall/soil covariates, model runs</t>
  </si>
  <si>
    <t>Platform choice &amp; cadence matter</t>
  </si>
  <si>
    <t>Digital data systems</t>
  </si>
  <si>
    <t>Farmer app, MIS, data storage, device depreciation</t>
  </si>
  <si>
    <t>Shared services reduce cost at scale</t>
  </si>
  <si>
    <t>Third‑party validation</t>
  </si>
  <si>
    <t>VVB fees, site visit, responses</t>
  </si>
  <si>
    <t>O (Yr 0)</t>
  </si>
  <si>
    <t>/tCO₂e (normalized)</t>
  </si>
  <si>
    <t>Convert from lump sum; 1st validation is pricier</t>
  </si>
  <si>
    <t>Verification (each issuance)</t>
  </si>
  <si>
    <t>VVB fees, sampling audit, desk review</t>
  </si>
  <si>
    <t>R (issuance cycle)</t>
  </si>
  <si>
    <t>/tCO₂e</t>
  </si>
  <si>
    <t>Depends on volume/issuance frequency</t>
  </si>
  <si>
    <t>Registry Account fees</t>
  </si>
  <si>
    <t>Opening and maintainace</t>
  </si>
  <si>
    <t>O + R (Yearly)</t>
  </si>
  <si>
    <t>/Yr</t>
  </si>
  <si>
    <t>Registry‑specific schedules</t>
  </si>
  <si>
    <r>
      <t>Project Registration Request Fee:</t>
    </r>
    <r>
      <rPr>
        <sz val="8"/>
        <color rgb="FF0A0A0A"/>
        <rFont val="Arial"/>
        <family val="2"/>
      </rPr>
      <t> $3,750 (effective Dec 1, 2024, for VCS).</t>
    </r>
  </si>
  <si>
    <t>Pipeline Request Fee</t>
  </si>
  <si>
    <t>Request to put projects as listed projects</t>
  </si>
  <si>
    <t>Validation and Verification Review Fee</t>
  </si>
  <si>
    <t>At each Va / Ve request</t>
  </si>
  <si>
    <t>R (Issuance cycle)</t>
  </si>
  <si>
    <t>Project Registration Request Fee: $3,750 (effective Dec 1, 2024, for VCS).</t>
  </si>
  <si>
    <t>Each Request (Generally Once)</t>
  </si>
  <si>
    <t>Issuance Levy</t>
  </si>
  <si>
    <t>For each issuance</t>
  </si>
  <si>
    <t>R (per issuance)</t>
  </si>
  <si>
    <t>Buffer/risk pool contribution</t>
  </si>
  <si>
    <t>Non‑tradable credits</t>
  </si>
  <si>
    <t>% of credits</t>
  </si>
  <si>
    <t>—</t>
  </si>
  <si>
    <t>Project risk class, methodology rules</t>
  </si>
  <si>
    <t>Monitoring &amp; grievance</t>
  </si>
  <si>
    <t>Helpline, audits, safeguards compliance</t>
  </si>
  <si>
    <t>Safeguards often required by standards/buyers</t>
  </si>
  <si>
    <t>Overheads &amp; management</t>
  </si>
  <si>
    <t>Finance, HR, audit, management</t>
  </si>
  <si>
    <t>% of direct costs</t>
  </si>
  <si>
    <t>Set band as policy</t>
  </si>
  <si>
    <t>Contingency</t>
  </si>
  <si>
    <t>Unforeseen</t>
  </si>
  <si>
    <t>% of subtotal</t>
  </si>
  <si>
    <t>Apply after overheads</t>
  </si>
  <si>
    <t>Taxes</t>
  </si>
  <si>
    <t>Carbon income tax</t>
  </si>
  <si>
    <t>depends</t>
  </si>
  <si>
    <t>Income tax, brackets and dependency unclear</t>
  </si>
  <si>
    <t>Years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</si>
  <si>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</si>
  <si>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</si>
  <si>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</si>
  <si>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</si>
  <si>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</si>
  <si>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</si>
  <si>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</si>
  <si>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</si>
  <si>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</si>
  <si>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</si>
  <si>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</si>
  <si>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</si>
  <si>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</si>
  <si>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</si>
  <si>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</si>
  <si>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</si>
  <si>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</si>
  <si>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</si>
  <si>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</si>
  <si>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</si>
  <si>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</si>
  <si>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</si>
  <si>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</si>
  <si>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</si>
  <si>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</si>
  <si>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</si>
  <si>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Farmers</t>
  </si>
  <si>
    <t>Ha</t>
  </si>
  <si>
    <t>Total Credits (Pre Buffer)</t>
  </si>
  <si>
    <t>Total Credits (Post Buffer)</t>
  </si>
  <si>
    <t>Soil Test Cycle</t>
  </si>
  <si>
    <t>Issuance Cycle</t>
  </si>
  <si>
    <t>Inflation</t>
  </si>
  <si>
    <t>Credit Price</t>
  </si>
  <si>
    <t>Total Sale Revenue</t>
  </si>
  <si>
    <t>Realised Revenue</t>
  </si>
  <si>
    <t>Total Costs</t>
  </si>
  <si>
    <t>Net Revenue</t>
  </si>
  <si>
    <t>Profit Sharing @50%</t>
  </si>
  <si>
    <t>Profit Sharing per farmer</t>
  </si>
  <si>
    <t>IRR</t>
  </si>
  <si>
    <t>Cost Table</t>
  </si>
  <si>
    <t>Setting up</t>
  </si>
  <si>
    <t>Implmentation</t>
  </si>
  <si>
    <t>Registry Fees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</si>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</sst>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* #,##0.0_-;\-* #,##0.0_-;_-* &quot;-&quot;??_-;_-@_-"/>
    <numFmt numFmtId="166" formatCode="_-* #,##0_-;\-* #,##0_-;_-* &quot;-&quot;??_-;_-@_-"/>
    <numFmt numFmtId="167" formatCode="_ [$₹-4009]\ * #,##0.00_ ;_ [$₹-4009]\ * \-#,##0.00_ ;_ [$₹-4009]\ * &quot;-&quot;??_ ;_ @_ "/>
    <numFmt numFmtId="168" formatCode="_(&quot;$&quot;* #,##0_);_(&quot;$&quot;* \(#,##0\);_(&quot;$&quot;* &quot;-&quot;??_);_(@_)"/>
    <numFmt numFmtId="169" formatCode="_ [$₹-4009]\ * #,##0_ ;_ [$₹-4009]\ * \-#,##0_ ;_ [$₹-4009]\ * &quot;-&quot;??_ ;_ @_ 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8"/>
      <color rgb="FF0A0A0A"/>
      <name val="Arial"/>
      <family val="2"/>
    </font>
    <font>
      <b/>
      <sz val="8"/>
      <color rgb="FF0A0A0A"/>
      <name val="Arial"/>
      <family val="2"/>
    </font>
    <font>
      <b/>
      <sz val="11"/>
      <name val="Segoe UI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/>
      <top/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/>
      <top style="medium">
        <color rgb="FFE6E6E6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" fontId="4" fillId="0" borderId="0" xfId="0" applyNumberFormat="1" applyFont="1" applyAlignment="1">
      <alignment horizontal="right" vertical="center" wrapText="1"/>
    </xf>
    <xf numFmtId="0" fontId="0" fillId="0" borderId="3" xfId="0" applyBorder="1"/>
    <xf numFmtId="0" fontId="3" fillId="0" borderId="3" xfId="0" applyFont="1" applyBorder="1" applyAlignment="1">
      <alignment horizontal="center" vertical="center" wrapText="1"/>
    </xf>
    <xf numFmtId="166" fontId="0" fillId="0" borderId="3" xfId="0" applyNumberFormat="1" applyBorder="1"/>
    <xf numFmtId="0" fontId="3" fillId="0" borderId="3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1" fontId="4" fillId="0" borderId="6" xfId="0" applyNumberFormat="1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166" fontId="4" fillId="0" borderId="7" xfId="1" applyNumberFormat="1" applyFont="1" applyBorder="1" applyAlignment="1">
      <alignment horizontal="right" vertical="center" wrapText="1"/>
    </xf>
    <xf numFmtId="166" fontId="4" fillId="0" borderId="8" xfId="1" applyNumberFormat="1" applyFont="1" applyBorder="1" applyAlignment="1">
      <alignment horizontal="righ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1" fontId="4" fillId="0" borderId="10" xfId="0" applyNumberFormat="1" applyFont="1" applyBorder="1" applyAlignment="1">
      <alignment horizontal="right" vertical="center" wrapText="1"/>
    </xf>
    <xf numFmtId="0" fontId="0" fillId="0" borderId="10" xfId="0" applyBorder="1"/>
    <xf numFmtId="0" fontId="4" fillId="0" borderId="11" xfId="0" applyFont="1" applyBorder="1" applyAlignment="1">
      <alignment horizontal="right" vertical="center" wrapText="1"/>
    </xf>
    <xf numFmtId="0" fontId="0" fillId="0" borderId="6" xfId="0" applyBorder="1"/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/>
    <xf numFmtId="43" fontId="2" fillId="0" borderId="3" xfId="1" applyFont="1" applyBorder="1"/>
    <xf numFmtId="43" fontId="2" fillId="0" borderId="4" xfId="1" applyFont="1" applyBorder="1"/>
    <xf numFmtId="166" fontId="3" fillId="0" borderId="4" xfId="1" applyNumberFormat="1" applyFont="1" applyFill="1" applyBorder="1" applyAlignment="1">
      <alignment horizontal="right" vertical="center" wrapText="1"/>
    </xf>
    <xf numFmtId="43" fontId="2" fillId="0" borderId="0" xfId="0" applyNumberFormat="1" applyFont="1"/>
    <xf numFmtId="0" fontId="2" fillId="0" borderId="3" xfId="0" applyFont="1" applyBorder="1" applyAlignment="1">
      <alignment wrapText="1"/>
    </xf>
    <xf numFmtId="165" fontId="0" fillId="0" borderId="3" xfId="1" applyNumberFormat="1" applyFont="1" applyBorder="1"/>
    <xf numFmtId="166" fontId="0" fillId="0" borderId="3" xfId="1" applyNumberFormat="1" applyFont="1" applyBorder="1"/>
    <xf numFmtId="165" fontId="2" fillId="0" borderId="3" xfId="1" applyNumberFormat="1" applyFont="1" applyBorder="1"/>
    <xf numFmtId="166" fontId="2" fillId="0" borderId="3" xfId="1" applyNumberFormat="1" applyFont="1" applyBorder="1"/>
    <xf numFmtId="165" fontId="0" fillId="0" borderId="12" xfId="1" applyNumberFormat="1" applyFont="1" applyFill="1" applyBorder="1"/>
    <xf numFmtId="0" fontId="5" fillId="0" borderId="0" xfId="0" applyFont="1"/>
    <xf numFmtId="0" fontId="6" fillId="0" borderId="0" xfId="0" applyFont="1"/>
    <xf numFmtId="166" fontId="2" fillId="0" borderId="0" xfId="0" applyNumberFormat="1" applyFont="1"/>
    <xf numFmtId="9" fontId="0" fillId="0" borderId="0" xfId="0" applyNumberFormat="1"/>
    <xf numFmtId="0" fontId="8" fillId="0" borderId="13" xfId="0" applyFont="1" applyBorder="1" applyAlignment="1">
      <alignment vertical="center" wrapText="1"/>
    </xf>
    <xf numFmtId="167" fontId="0" fillId="0" borderId="0" xfId="0" applyNumberFormat="1"/>
    <xf numFmtId="164" fontId="0" fillId="0" borderId="0" xfId="2" applyFont="1"/>
    <xf numFmtId="0" fontId="8" fillId="0" borderId="0" xfId="0" applyFont="1" applyAlignment="1">
      <alignment vertical="center" wrapText="1"/>
    </xf>
    <xf numFmtId="164" fontId="0" fillId="0" borderId="0" xfId="0" applyNumberFormat="1"/>
    <xf numFmtId="164" fontId="8" fillId="0" borderId="13" xfId="2" applyFont="1" applyBorder="1" applyAlignment="1">
      <alignment horizontal="left" vertical="center" wrapText="1"/>
    </xf>
    <xf numFmtId="168" fontId="8" fillId="0" borderId="13" xfId="2" applyNumberFormat="1" applyFont="1" applyBorder="1" applyAlignment="1">
      <alignment horizontal="left" vertical="center" wrapText="1"/>
    </xf>
    <xf numFmtId="169" fontId="7" fillId="0" borderId="13" xfId="0" applyNumberFormat="1" applyFont="1" applyBorder="1" applyAlignment="1">
      <alignment vertical="center" wrapText="1"/>
    </xf>
    <xf numFmtId="9" fontId="0" fillId="0" borderId="0" xfId="3" applyFont="1"/>
    <xf numFmtId="0" fontId="10" fillId="0" borderId="0" xfId="0" applyFont="1" applyAlignment="1">
      <alignment horizontal="left" vertical="center" wrapText="1" indent="1"/>
    </xf>
    <xf numFmtId="164" fontId="8" fillId="0" borderId="13" xfId="2" applyFont="1" applyBorder="1" applyAlignment="1">
      <alignment vertical="center" wrapText="1"/>
    </xf>
    <xf numFmtId="168" fontId="8" fillId="0" borderId="13" xfId="2" applyNumberFormat="1" applyFont="1" applyBorder="1" applyAlignment="1">
      <alignment vertical="center" wrapText="1"/>
    </xf>
    <xf numFmtId="9" fontId="7" fillId="0" borderId="13" xfId="0" applyNumberFormat="1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9" fontId="7" fillId="0" borderId="20" xfId="0" applyNumberFormat="1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2" fillId="0" borderId="0" xfId="0" applyFont="1"/>
    <xf numFmtId="0" fontId="14" fillId="0" borderId="0" xfId="0" applyFont="1"/>
    <xf numFmtId="164" fontId="14" fillId="0" borderId="0" xfId="2" applyFont="1"/>
    <xf numFmtId="9" fontId="0" fillId="0" borderId="0" xfId="2" applyNumberFormat="1" applyFont="1"/>
    <xf numFmtId="14" fontId="0" fillId="0" borderId="0" xfId="0" applyNumberFormat="1"/>
    <xf numFmtId="1" fontId="0" fillId="0" borderId="0" xfId="0" applyNumberFormat="1"/>
    <xf numFmtId="164" fontId="2" fillId="0" borderId="0" xfId="0" applyNumberFormat="1" applyFont="1"/>
    <xf numFmtId="164" fontId="0" fillId="0" borderId="0" xfId="2" applyFont="1" applyBorder="1"/>
    <xf numFmtId="0" fontId="0" fillId="0" borderId="23" xfId="0" applyBorder="1"/>
    <xf numFmtId="164" fontId="0" fillId="0" borderId="22" xfId="2" applyFont="1" applyBorder="1"/>
    <xf numFmtId="9" fontId="0" fillId="0" borderId="22" xfId="2" applyNumberFormat="1" applyFont="1" applyBorder="1"/>
    <xf numFmtId="0" fontId="2" fillId="0" borderId="23" xfId="0" applyFont="1" applyBorder="1"/>
    <xf numFmtId="164" fontId="2" fillId="0" borderId="23" xfId="0" applyNumberFormat="1" applyFont="1" applyBorder="1"/>
    <xf numFmtId="164" fontId="0" fillId="0" borderId="23" xfId="0" applyNumberFormat="1" applyBorder="1"/>
    <xf numFmtId="164" fontId="2" fillId="0" borderId="0" xfId="2" applyFont="1"/>
    <xf numFmtId="0" fontId="2" fillId="0" borderId="6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</cellXfs>
  <cellStyles count="4">
    <cellStyle name="Comma" xfId="1" builtinId="3"/>
    <cellStyle name="Currency" xfId="2" builtinId="4"/>
    <cellStyle name="Normal" xfId="0" builtinId="0"/>
    <cellStyle name="Per cent" xfId="3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border outline="0">
        <top style="medium">
          <color rgb="FFE6E6E6"/>
        </top>
      </border>
    </dxf>
    <dxf>
      <border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E6E6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D78E31-860F-49AA-919C-6D10850AF67C}" name="Table1" displayName="Table1" ref="A9:H28" totalsRowShown="0" headerRowDxfId="12" dataDxfId="10" headerRowBorderDxfId="11" tableBorderDxfId="9" totalsRowBorderDxfId="8">
  <autoFilter ref="A9:H28" xr:uid="{1DD78E31-860F-49AA-919C-6D10850AF67C}"/>
  <tableColumns count="8">
    <tableColumn id="1" xr3:uid="{40A41B9F-98AD-4CE1-99B0-141B21F23586}" name="#" dataDxfId="7"/>
    <tableColumn id="2" xr3:uid="{FA4A1DA6-F374-406B-AD83-1CA98C7CAA6F}" name="Cost Head" dataDxfId="6"/>
    <tableColumn id="3" xr3:uid="{38F3020D-60F0-4530-B107-1C3C4F506FCA}" name="What’s Included" dataDxfId="5"/>
    <tableColumn id="4" xr3:uid="{C5763ABC-2C59-4CE1-90FB-5F99A8AE3E57}" name="Freq." dataDxfId="4"/>
    <tableColumn id="5" xr3:uid="{8112AAB0-5515-42A0-99C2-611681C389EA}" name="Unit" dataDxfId="3"/>
    <tableColumn id="6" xr3:uid="{B8EE91F2-E8CC-4D8F-90B2-F69A02BFCA0A}" name="Assumption (INR)" dataDxfId="2"/>
    <tableColumn id="7" xr3:uid="{19190FFB-9B9F-40B2-AA95-8F60D681F35C}" name="USD (≈)" dataDxfId="1"/>
    <tableColumn id="8" xr3:uid="{14BC2939-D415-4964-BC20-EB6A350EA763}" name="Notes / Drive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1BAB1-4E25-4899-A45F-D7A5B5F02C5B}">
  <dimension ref="A1:H44"/>
  <sheetViews>
    <sheetView topLeftCell="A10" workbookViewId="0">
      <selection activeCell="C11" sqref="C11:C19"/>
    </sheetView>
  </sheetViews>
  <sheetFormatPr defaultRowHeight="15" x14ac:dyDescent="0.2"/>
  <cols>
    <col min="2" max="2" width="14.2578125" customWidth="1"/>
    <col min="3" max="3" width="14.390625" customWidth="1"/>
    <col min="4" max="4" width="12.9140625" customWidth="1"/>
    <col min="5" max="5" width="14.52734375" customWidth="1"/>
    <col min="6" max="6" width="13.5859375" bestFit="1" customWidth="1"/>
    <col min="7" max="7" width="14.2578125" customWidth="1"/>
    <col min="8" max="8" width="16.41015625" customWidth="1"/>
  </cols>
  <sheetData>
    <row r="1" spans="1:8" x14ac:dyDescent="0.2">
      <c r="A1" s="34" t="s">
        <v>0</v>
      </c>
    </row>
    <row r="3" spans="1:8" x14ac:dyDescent="0.2">
      <c r="A3" t="s">
        <v>1</v>
      </c>
    </row>
    <row r="4" spans="1:8" x14ac:dyDescent="0.2">
      <c r="A4" t="s">
        <v>2</v>
      </c>
    </row>
    <row r="6" spans="1:8" x14ac:dyDescent="0.2">
      <c r="A6" t="s">
        <v>3</v>
      </c>
      <c r="D6" t="s">
        <v>4</v>
      </c>
    </row>
    <row r="7" spans="1:8" x14ac:dyDescent="0.2">
      <c r="A7" t="s">
        <v>5</v>
      </c>
      <c r="D7" t="s">
        <v>6</v>
      </c>
    </row>
    <row r="10" spans="1:8" ht="36" x14ac:dyDescent="0.2">
      <c r="A10" s="7" t="s">
        <v>7</v>
      </c>
      <c r="B10" s="7" t="s">
        <v>8</v>
      </c>
      <c r="C10" s="7" t="s">
        <v>9</v>
      </c>
      <c r="D10" s="7" t="s">
        <v>10</v>
      </c>
      <c r="E10" s="9" t="s">
        <v>11</v>
      </c>
      <c r="F10" s="7" t="s">
        <v>12</v>
      </c>
      <c r="G10" s="7" t="s">
        <v>13</v>
      </c>
      <c r="H10" s="7" t="s">
        <v>14</v>
      </c>
    </row>
    <row r="11" spans="1:8" x14ac:dyDescent="0.2">
      <c r="A11" s="10" t="s">
        <v>15</v>
      </c>
      <c r="B11" s="11" t="s">
        <v>16</v>
      </c>
      <c r="C11" s="12">
        <v>19000</v>
      </c>
      <c r="D11" s="12">
        <v>19000</v>
      </c>
      <c r="E11" s="13">
        <v>0.48</v>
      </c>
      <c r="F11" s="14">
        <f>5*(D11*1.1)</f>
        <v>104500</v>
      </c>
      <c r="G11" s="15">
        <f>15*(D11*5)</f>
        <v>1425000</v>
      </c>
      <c r="H11" s="8">
        <f>16*(F11+G11)</f>
        <v>24472000</v>
      </c>
    </row>
    <row r="12" spans="1:8" x14ac:dyDescent="0.2">
      <c r="A12" s="16" t="s">
        <v>17</v>
      </c>
      <c r="B12" s="17" t="s">
        <v>18</v>
      </c>
      <c r="C12" s="18">
        <v>28500</v>
      </c>
      <c r="D12" s="19">
        <f>C12-C11</f>
        <v>9500</v>
      </c>
      <c r="E12" s="20">
        <v>0.69</v>
      </c>
      <c r="F12" s="14">
        <f t="shared" ref="F12:F19" si="0">5*(D12*1.1)</f>
        <v>52250</v>
      </c>
      <c r="G12" s="15">
        <f t="shared" ref="G12:G19" si="1">15*(D12*5)</f>
        <v>712500</v>
      </c>
      <c r="H12" s="8">
        <f t="shared" ref="H12:H19" si="2">16*(F12+G12)</f>
        <v>12236000</v>
      </c>
    </row>
    <row r="13" spans="1:8" x14ac:dyDescent="0.2">
      <c r="A13" s="2" t="s">
        <v>19</v>
      </c>
      <c r="B13" s="4" t="s">
        <v>20</v>
      </c>
      <c r="C13" s="5">
        <v>44500</v>
      </c>
      <c r="D13">
        <f t="shared" ref="D13:D19" si="3">C13-C12</f>
        <v>16000</v>
      </c>
      <c r="E13" s="3">
        <v>1.05</v>
      </c>
      <c r="F13" s="14">
        <f t="shared" si="0"/>
        <v>88000</v>
      </c>
      <c r="G13" s="15">
        <f t="shared" si="1"/>
        <v>1200000</v>
      </c>
      <c r="H13" s="8">
        <f t="shared" si="2"/>
        <v>20608000</v>
      </c>
    </row>
    <row r="14" spans="1:8" x14ac:dyDescent="0.2">
      <c r="A14" s="10" t="s">
        <v>21</v>
      </c>
      <c r="B14" s="11" t="s">
        <v>22</v>
      </c>
      <c r="C14" s="12">
        <v>64500</v>
      </c>
      <c r="D14" s="21">
        <f t="shared" si="3"/>
        <v>20000</v>
      </c>
      <c r="E14" s="13">
        <v>1.41</v>
      </c>
      <c r="F14" s="14">
        <f t="shared" si="0"/>
        <v>110000</v>
      </c>
      <c r="G14" s="15">
        <f t="shared" si="1"/>
        <v>1500000</v>
      </c>
      <c r="H14" s="8">
        <f t="shared" si="2"/>
        <v>25760000</v>
      </c>
    </row>
    <row r="15" spans="1:8" x14ac:dyDescent="0.2">
      <c r="A15" s="10" t="s">
        <v>23</v>
      </c>
      <c r="B15" s="11" t="s">
        <v>24</v>
      </c>
      <c r="C15" s="12">
        <v>104500</v>
      </c>
      <c r="D15" s="21">
        <f t="shared" si="3"/>
        <v>40000</v>
      </c>
      <c r="E15" s="13">
        <v>2.04</v>
      </c>
      <c r="F15" s="14">
        <f t="shared" si="0"/>
        <v>220000</v>
      </c>
      <c r="G15" s="15">
        <f t="shared" si="1"/>
        <v>3000000</v>
      </c>
      <c r="H15" s="8">
        <f t="shared" si="2"/>
        <v>51520000</v>
      </c>
    </row>
    <row r="16" spans="1:8" x14ac:dyDescent="0.2">
      <c r="A16" s="10" t="s">
        <v>25</v>
      </c>
      <c r="B16" s="11" t="s">
        <v>26</v>
      </c>
      <c r="C16" s="12">
        <v>144500</v>
      </c>
      <c r="D16" s="21">
        <f t="shared" si="3"/>
        <v>40000</v>
      </c>
      <c r="E16" s="13">
        <v>2.46</v>
      </c>
      <c r="F16" s="14">
        <f t="shared" si="0"/>
        <v>220000</v>
      </c>
      <c r="G16" s="15">
        <f t="shared" si="1"/>
        <v>3000000</v>
      </c>
      <c r="H16" s="8">
        <f t="shared" si="2"/>
        <v>51520000</v>
      </c>
    </row>
    <row r="17" spans="1:8" x14ac:dyDescent="0.2">
      <c r="A17" s="10" t="s">
        <v>27</v>
      </c>
      <c r="B17" s="11" t="s">
        <v>28</v>
      </c>
      <c r="C17" s="12">
        <v>200000</v>
      </c>
      <c r="D17" s="21">
        <f t="shared" si="3"/>
        <v>55500</v>
      </c>
      <c r="E17" s="13">
        <v>3.27</v>
      </c>
      <c r="F17" s="14">
        <f t="shared" si="0"/>
        <v>305250.00000000006</v>
      </c>
      <c r="G17" s="15">
        <f t="shared" si="1"/>
        <v>4162500</v>
      </c>
      <c r="H17" s="8">
        <f t="shared" si="2"/>
        <v>71484000</v>
      </c>
    </row>
    <row r="18" spans="1:8" x14ac:dyDescent="0.2">
      <c r="A18" s="10" t="s">
        <v>29</v>
      </c>
      <c r="B18" s="11" t="s">
        <v>30</v>
      </c>
      <c r="C18" s="12">
        <v>250000</v>
      </c>
      <c r="D18" s="21">
        <f t="shared" si="3"/>
        <v>50000</v>
      </c>
      <c r="E18" s="13">
        <v>4.09</v>
      </c>
      <c r="F18" s="14">
        <f t="shared" si="0"/>
        <v>275000.00000000006</v>
      </c>
      <c r="G18" s="15">
        <f t="shared" si="1"/>
        <v>3750000</v>
      </c>
      <c r="H18" s="8">
        <f t="shared" si="2"/>
        <v>64400000</v>
      </c>
    </row>
    <row r="19" spans="1:8" x14ac:dyDescent="0.2">
      <c r="A19" s="16" t="s">
        <v>31</v>
      </c>
      <c r="B19" s="17" t="s">
        <v>32</v>
      </c>
      <c r="C19" s="18">
        <v>300000</v>
      </c>
      <c r="D19" s="19">
        <f t="shared" si="3"/>
        <v>50000</v>
      </c>
      <c r="E19" s="20">
        <v>4.97</v>
      </c>
      <c r="F19" s="14">
        <f t="shared" si="0"/>
        <v>275000.00000000006</v>
      </c>
      <c r="G19" s="15">
        <f t="shared" si="1"/>
        <v>3750000</v>
      </c>
      <c r="H19" s="8">
        <f t="shared" si="2"/>
        <v>64400000</v>
      </c>
    </row>
    <row r="20" spans="1:8" x14ac:dyDescent="0.2">
      <c r="A20" s="22" t="s">
        <v>33</v>
      </c>
      <c r="B20" s="23"/>
      <c r="C20" s="23"/>
      <c r="D20" s="23"/>
      <c r="E20" s="23">
        <f>SUM(E11:E19)</f>
        <v>20.459999999999997</v>
      </c>
      <c r="F20" s="24">
        <f t="shared" ref="F20:H20" si="4">SUM(F11:F19)</f>
        <v>1650000</v>
      </c>
      <c r="G20" s="25">
        <f t="shared" si="4"/>
        <v>22500000</v>
      </c>
      <c r="H20" s="24">
        <f t="shared" si="4"/>
        <v>386400000</v>
      </c>
    </row>
    <row r="21" spans="1:8" x14ac:dyDescent="0.2">
      <c r="A21" s="23" t="s">
        <v>34</v>
      </c>
      <c r="B21" s="23"/>
      <c r="C21" s="23"/>
      <c r="D21" s="23"/>
      <c r="E21" s="23"/>
      <c r="F21" s="23"/>
      <c r="G21" s="26">
        <f>SUM(F20:G20)</f>
        <v>24150000</v>
      </c>
      <c r="H21" s="6"/>
    </row>
    <row r="23" spans="1:8" x14ac:dyDescent="0.2">
      <c r="E23" s="1" t="s">
        <v>35</v>
      </c>
      <c r="F23" s="1"/>
      <c r="G23" s="1"/>
      <c r="H23" s="27">
        <f>H20-20460000</f>
        <v>365940000</v>
      </c>
    </row>
    <row r="24" spans="1:8" x14ac:dyDescent="0.2">
      <c r="E24" t="s">
        <v>36</v>
      </c>
    </row>
    <row r="26" spans="1:8" x14ac:dyDescent="0.2">
      <c r="A26" s="34" t="s">
        <v>37</v>
      </c>
      <c r="B26" s="35"/>
      <c r="C26" s="35"/>
    </row>
    <row r="28" spans="1:8" x14ac:dyDescent="0.2">
      <c r="A28" s="1" t="s">
        <v>38</v>
      </c>
      <c r="D28" s="1" t="s">
        <v>39</v>
      </c>
    </row>
    <row r="29" spans="1:8" x14ac:dyDescent="0.2">
      <c r="A29" t="s">
        <v>40</v>
      </c>
      <c r="D29" s="1" t="s">
        <v>41</v>
      </c>
    </row>
    <row r="30" spans="1:8" x14ac:dyDescent="0.2">
      <c r="A30" t="s">
        <v>42</v>
      </c>
    </row>
    <row r="31" spans="1:8" ht="41.25" x14ac:dyDescent="0.2">
      <c r="A31" s="23" t="s">
        <v>43</v>
      </c>
      <c r="B31" s="23" t="s">
        <v>44</v>
      </c>
      <c r="C31" s="23" t="s">
        <v>45</v>
      </c>
      <c r="D31" s="23" t="s">
        <v>46</v>
      </c>
      <c r="E31" s="28" t="s">
        <v>47</v>
      </c>
    </row>
    <row r="32" spans="1:8" x14ac:dyDescent="0.2">
      <c r="A32" s="6">
        <v>1</v>
      </c>
      <c r="B32" s="6">
        <v>1000</v>
      </c>
      <c r="C32" s="6">
        <f>5*(B32*2)</f>
        <v>10000</v>
      </c>
      <c r="D32" s="29">
        <f>15*(B32*7.5)</f>
        <v>112500</v>
      </c>
      <c r="E32" s="30">
        <f>10*(C32+D32)</f>
        <v>1225000</v>
      </c>
    </row>
    <row r="33" spans="1:6" x14ac:dyDescent="0.2">
      <c r="A33" s="6">
        <v>2</v>
      </c>
      <c r="B33" s="6">
        <v>2000</v>
      </c>
      <c r="C33" s="6">
        <f t="shared" ref="C33:C41" si="5">5*(B33*2)</f>
        <v>20000</v>
      </c>
      <c r="D33" s="29">
        <f t="shared" ref="D33:D41" si="6">15*(B33*7.5)</f>
        <v>225000</v>
      </c>
      <c r="E33" s="30">
        <f t="shared" ref="E33:E41" si="7">10*(C33+D33)</f>
        <v>2450000</v>
      </c>
    </row>
    <row r="34" spans="1:6" x14ac:dyDescent="0.2">
      <c r="A34" s="6">
        <v>3</v>
      </c>
      <c r="B34" s="6">
        <f>35000/8</f>
        <v>4375</v>
      </c>
      <c r="C34" s="6">
        <f t="shared" si="5"/>
        <v>43750</v>
      </c>
      <c r="D34" s="29">
        <f t="shared" si="6"/>
        <v>492187.5</v>
      </c>
      <c r="E34" s="30">
        <f t="shared" si="7"/>
        <v>5359375</v>
      </c>
    </row>
    <row r="35" spans="1:6" x14ac:dyDescent="0.2">
      <c r="A35" s="6">
        <v>4</v>
      </c>
      <c r="B35" s="6">
        <f t="shared" ref="B35:B41" si="8">35000/8</f>
        <v>4375</v>
      </c>
      <c r="C35" s="6">
        <f t="shared" si="5"/>
        <v>43750</v>
      </c>
      <c r="D35" s="29">
        <f t="shared" si="6"/>
        <v>492187.5</v>
      </c>
      <c r="E35" s="30">
        <f t="shared" si="7"/>
        <v>5359375</v>
      </c>
    </row>
    <row r="36" spans="1:6" x14ac:dyDescent="0.2">
      <c r="A36" s="6">
        <v>5</v>
      </c>
      <c r="B36" s="6">
        <f t="shared" si="8"/>
        <v>4375</v>
      </c>
      <c r="C36" s="6">
        <f t="shared" si="5"/>
        <v>43750</v>
      </c>
      <c r="D36" s="29">
        <f t="shared" si="6"/>
        <v>492187.5</v>
      </c>
      <c r="E36" s="30">
        <f t="shared" si="7"/>
        <v>5359375</v>
      </c>
    </row>
    <row r="37" spans="1:6" x14ac:dyDescent="0.2">
      <c r="A37" s="6">
        <v>6</v>
      </c>
      <c r="B37" s="6">
        <f t="shared" si="8"/>
        <v>4375</v>
      </c>
      <c r="C37" s="6">
        <f t="shared" si="5"/>
        <v>43750</v>
      </c>
      <c r="D37" s="29">
        <f t="shared" si="6"/>
        <v>492187.5</v>
      </c>
      <c r="E37" s="30">
        <f t="shared" si="7"/>
        <v>5359375</v>
      </c>
    </row>
    <row r="38" spans="1:6" x14ac:dyDescent="0.2">
      <c r="A38" s="6">
        <v>7</v>
      </c>
      <c r="B38" s="6">
        <f t="shared" si="8"/>
        <v>4375</v>
      </c>
      <c r="C38" s="6">
        <f t="shared" si="5"/>
        <v>43750</v>
      </c>
      <c r="D38" s="29">
        <f t="shared" si="6"/>
        <v>492187.5</v>
      </c>
      <c r="E38" s="30">
        <f t="shared" si="7"/>
        <v>5359375</v>
      </c>
    </row>
    <row r="39" spans="1:6" x14ac:dyDescent="0.2">
      <c r="A39" s="6">
        <v>8</v>
      </c>
      <c r="B39" s="6">
        <f t="shared" si="8"/>
        <v>4375</v>
      </c>
      <c r="C39" s="6">
        <f t="shared" si="5"/>
        <v>43750</v>
      </c>
      <c r="D39" s="29">
        <f t="shared" si="6"/>
        <v>492187.5</v>
      </c>
      <c r="E39" s="30">
        <f t="shared" si="7"/>
        <v>5359375</v>
      </c>
    </row>
    <row r="40" spans="1:6" x14ac:dyDescent="0.2">
      <c r="A40" s="6">
        <v>9</v>
      </c>
      <c r="B40" s="6">
        <f t="shared" si="8"/>
        <v>4375</v>
      </c>
      <c r="C40" s="6">
        <f t="shared" si="5"/>
        <v>43750</v>
      </c>
      <c r="D40" s="29">
        <f t="shared" si="6"/>
        <v>492187.5</v>
      </c>
      <c r="E40" s="30">
        <f t="shared" si="7"/>
        <v>5359375</v>
      </c>
    </row>
    <row r="41" spans="1:6" x14ac:dyDescent="0.2">
      <c r="A41" s="6">
        <v>10</v>
      </c>
      <c r="B41" s="6">
        <f t="shared" si="8"/>
        <v>4375</v>
      </c>
      <c r="C41" s="6">
        <f t="shared" si="5"/>
        <v>43750</v>
      </c>
      <c r="D41" s="29">
        <f t="shared" si="6"/>
        <v>492187.5</v>
      </c>
      <c r="E41" s="30">
        <f t="shared" si="7"/>
        <v>5359375</v>
      </c>
    </row>
    <row r="42" spans="1:6" x14ac:dyDescent="0.2">
      <c r="A42" s="23" t="s">
        <v>33</v>
      </c>
      <c r="B42" s="23">
        <f>SUM(B32:B41)</f>
        <v>38000</v>
      </c>
      <c r="C42" s="23">
        <f>SUM(C32:C41)</f>
        <v>380000</v>
      </c>
      <c r="D42" s="31">
        <f>SUM(D32:D41)</f>
        <v>4275000</v>
      </c>
      <c r="E42" s="32">
        <f>SUM(E32:E41)</f>
        <v>46550000</v>
      </c>
    </row>
    <row r="43" spans="1:6" ht="29.1" customHeight="1" x14ac:dyDescent="0.2">
      <c r="A43" s="75" t="s">
        <v>48</v>
      </c>
      <c r="B43" s="75"/>
      <c r="C43" s="76"/>
      <c r="D43" s="33">
        <f>SUM(C42:D42)</f>
        <v>4655000</v>
      </c>
    </row>
    <row r="44" spans="1:6" x14ac:dyDescent="0.2">
      <c r="A44" s="1" t="s">
        <v>49</v>
      </c>
      <c r="B44" s="1"/>
      <c r="C44" s="1"/>
      <c r="E44" s="36">
        <f>E42-10000000</f>
        <v>36550000</v>
      </c>
      <c r="F44" t="s">
        <v>50</v>
      </c>
    </row>
  </sheetData>
  <mergeCells count="1">
    <mergeCell ref="A43:C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F972F-2D87-4438-8A10-38B8577E2EF9}">
  <dimension ref="A1:K57"/>
  <sheetViews>
    <sheetView workbookViewId="0">
      <selection activeCell="A8" sqref="A8"/>
    </sheetView>
  </sheetViews>
  <sheetFormatPr defaultRowHeight="15" x14ac:dyDescent="0.2"/>
  <cols>
    <col min="1" max="1" width="13.1796875" bestFit="1" customWidth="1"/>
    <col min="2" max="2" width="44.390625" customWidth="1"/>
    <col min="3" max="3" width="23.40625" customWidth="1"/>
    <col min="4" max="4" width="20.71484375" customWidth="1"/>
    <col min="5" max="5" width="18.83203125" customWidth="1"/>
    <col min="6" max="6" width="20.17578125" customWidth="1"/>
    <col min="7" max="7" width="17.21875" customWidth="1"/>
    <col min="8" max="8" width="19.1015625" customWidth="1"/>
    <col min="11" max="11" width="11.1640625" bestFit="1" customWidth="1"/>
  </cols>
  <sheetData>
    <row r="1" spans="1:10" x14ac:dyDescent="0.2">
      <c r="A1" t="s">
        <v>51</v>
      </c>
      <c r="B1">
        <v>90</v>
      </c>
    </row>
    <row r="2" spans="1:10" x14ac:dyDescent="0.2">
      <c r="A2" t="s">
        <v>52</v>
      </c>
      <c r="B2">
        <v>19000</v>
      </c>
    </row>
    <row r="3" spans="1:10" x14ac:dyDescent="0.2">
      <c r="A3" t="s">
        <v>53</v>
      </c>
      <c r="B3">
        <v>1.2</v>
      </c>
    </row>
    <row r="4" spans="1:10" x14ac:dyDescent="0.2">
      <c r="A4" t="s">
        <v>54</v>
      </c>
      <c r="B4" s="37">
        <v>0.05</v>
      </c>
    </row>
    <row r="5" spans="1:10" x14ac:dyDescent="0.2">
      <c r="A5" t="s">
        <v>55</v>
      </c>
      <c r="B5">
        <v>1.8</v>
      </c>
    </row>
    <row r="6" spans="1:10" x14ac:dyDescent="0.2">
      <c r="A6" t="s">
        <v>56</v>
      </c>
      <c r="B6" s="40">
        <v>18</v>
      </c>
    </row>
    <row r="7" spans="1:10" x14ac:dyDescent="0.2">
      <c r="A7" t="s">
        <v>57</v>
      </c>
      <c r="B7" s="37">
        <v>0.5</v>
      </c>
    </row>
    <row r="9" spans="1:10" s="60" customFormat="1" ht="16.5" thickBot="1" x14ac:dyDescent="0.3">
      <c r="A9" s="57" t="s">
        <v>58</v>
      </c>
      <c r="B9" s="58" t="s">
        <v>59</v>
      </c>
      <c r="C9" s="58" t="s">
        <v>60</v>
      </c>
      <c r="D9" s="58" t="s">
        <v>61</v>
      </c>
      <c r="E9" s="58" t="s">
        <v>62</v>
      </c>
      <c r="F9" s="58" t="s">
        <v>63</v>
      </c>
      <c r="G9" s="58" t="s">
        <v>64</v>
      </c>
      <c r="H9" s="59" t="s">
        <v>65</v>
      </c>
    </row>
    <row r="10" spans="1:10" ht="53.45" customHeight="1" thickBot="1" x14ac:dyDescent="0.3">
      <c r="A10" s="51">
        <v>1</v>
      </c>
      <c r="B10" s="38" t="s">
        <v>66</v>
      </c>
      <c r="C10" s="38" t="s">
        <v>67</v>
      </c>
      <c r="D10" s="38" t="s">
        <v>68</v>
      </c>
      <c r="E10" s="38" t="s">
        <v>69</v>
      </c>
      <c r="F10" s="45">
        <v>1000000</v>
      </c>
      <c r="G10" s="44">
        <f>F10/$B$1</f>
        <v>11111.111111111111</v>
      </c>
      <c r="H10" s="52" t="s">
        <v>70</v>
      </c>
    </row>
    <row r="11" spans="1:10" ht="48.95" customHeight="1" thickBot="1" x14ac:dyDescent="0.3">
      <c r="A11" s="51">
        <v>2</v>
      </c>
      <c r="B11" s="38" t="s">
        <v>71</v>
      </c>
      <c r="C11" s="38" t="s">
        <v>72</v>
      </c>
      <c r="D11" s="38" t="s">
        <v>68</v>
      </c>
      <c r="E11" s="38" t="s">
        <v>69</v>
      </c>
      <c r="F11" s="45">
        <v>3000000</v>
      </c>
      <c r="G11" s="44">
        <f>F11/$B$1</f>
        <v>33333.333333333336</v>
      </c>
      <c r="H11" s="52" t="s">
        <v>73</v>
      </c>
    </row>
    <row r="12" spans="1:10" ht="64.5" customHeight="1" thickBot="1" x14ac:dyDescent="0.3">
      <c r="A12" s="51">
        <v>3</v>
      </c>
      <c r="B12" s="38" t="s">
        <v>74</v>
      </c>
      <c r="C12" s="38" t="s">
        <v>75</v>
      </c>
      <c r="D12" s="38" t="s">
        <v>68</v>
      </c>
      <c r="E12" s="38" t="s">
        <v>76</v>
      </c>
      <c r="F12" s="45">
        <v>600</v>
      </c>
      <c r="G12" s="44">
        <f>F12/$B$1</f>
        <v>6.666666666666667</v>
      </c>
      <c r="H12" s="52" t="s">
        <v>77</v>
      </c>
    </row>
    <row r="13" spans="1:10" ht="104.25" thickBot="1" x14ac:dyDescent="0.3">
      <c r="A13" s="51">
        <v>4</v>
      </c>
      <c r="B13" s="38" t="s">
        <v>78</v>
      </c>
      <c r="C13" s="38" t="s">
        <v>79</v>
      </c>
      <c r="D13" s="38" t="s">
        <v>80</v>
      </c>
      <c r="E13" s="38" t="s">
        <v>81</v>
      </c>
      <c r="F13" s="45">
        <v>1600</v>
      </c>
      <c r="G13" s="44">
        <f>F13/$B$1</f>
        <v>17.777777777777779</v>
      </c>
      <c r="H13" s="52" t="s">
        <v>82</v>
      </c>
    </row>
    <row r="14" spans="1:10" ht="75" thickBot="1" x14ac:dyDescent="0.3">
      <c r="A14" s="51">
        <v>5</v>
      </c>
      <c r="B14" s="38" t="s">
        <v>83</v>
      </c>
      <c r="C14" s="38" t="s">
        <v>84</v>
      </c>
      <c r="D14" s="38" t="s">
        <v>85</v>
      </c>
      <c r="E14" s="38" t="s">
        <v>86</v>
      </c>
      <c r="F14" s="45">
        <v>2000</v>
      </c>
      <c r="G14" s="44">
        <f>F14/$B$1</f>
        <v>22.222222222222221</v>
      </c>
      <c r="H14" s="52" t="s">
        <v>87</v>
      </c>
      <c r="J14" s="46">
        <f>750/12000</f>
        <v>6.25E-2</v>
      </c>
    </row>
    <row r="15" spans="1:10" ht="45.75" thickBot="1" x14ac:dyDescent="0.3">
      <c r="A15" s="51">
        <v>6</v>
      </c>
      <c r="B15" s="38" t="s">
        <v>88</v>
      </c>
      <c r="C15" s="38" t="s">
        <v>89</v>
      </c>
      <c r="D15" s="38" t="s">
        <v>80</v>
      </c>
      <c r="E15" s="38" t="s">
        <v>81</v>
      </c>
      <c r="F15" s="45">
        <v>50</v>
      </c>
      <c r="G15" s="44">
        <f>F15/$B$1</f>
        <v>0.55555555555555558</v>
      </c>
      <c r="H15" s="52" t="s">
        <v>90</v>
      </c>
    </row>
    <row r="16" spans="1:10" ht="45.75" thickBot="1" x14ac:dyDescent="0.3">
      <c r="A16" s="51">
        <v>7</v>
      </c>
      <c r="B16" s="38" t="s">
        <v>91</v>
      </c>
      <c r="C16" s="38" t="s">
        <v>92</v>
      </c>
      <c r="D16" s="38" t="s">
        <v>80</v>
      </c>
      <c r="E16" s="38" t="s">
        <v>81</v>
      </c>
      <c r="F16" s="45">
        <v>6</v>
      </c>
      <c r="G16" s="44">
        <f t="shared" ref="G16:G18" si="0">F16/$B$1</f>
        <v>6.6666666666666666E-2</v>
      </c>
      <c r="H16" s="52" t="s">
        <v>93</v>
      </c>
      <c r="J16">
        <f>1000000/300000</f>
        <v>3.3333333333333335</v>
      </c>
    </row>
    <row r="17" spans="1:11" ht="45.75" thickBot="1" x14ac:dyDescent="0.3">
      <c r="A17" s="51">
        <v>8</v>
      </c>
      <c r="B17" s="38" t="s">
        <v>94</v>
      </c>
      <c r="C17" s="38" t="s">
        <v>95</v>
      </c>
      <c r="D17" s="38" t="s">
        <v>96</v>
      </c>
      <c r="E17" s="38" t="s">
        <v>97</v>
      </c>
      <c r="F17" s="45">
        <v>8</v>
      </c>
      <c r="G17" s="43">
        <f t="shared" si="0"/>
        <v>8.8888888888888892E-2</v>
      </c>
      <c r="H17" s="52" t="s">
        <v>98</v>
      </c>
    </row>
    <row r="18" spans="1:11" ht="30.75" thickBot="1" x14ac:dyDescent="0.3">
      <c r="A18" s="51">
        <v>9</v>
      </c>
      <c r="B18" s="38" t="s">
        <v>99</v>
      </c>
      <c r="C18" s="38" t="s">
        <v>100</v>
      </c>
      <c r="D18" s="38" t="s">
        <v>101</v>
      </c>
      <c r="E18" s="38" t="s">
        <v>102</v>
      </c>
      <c r="F18" s="45">
        <v>5</v>
      </c>
      <c r="G18" s="43">
        <f t="shared" si="0"/>
        <v>5.5555555555555552E-2</v>
      </c>
      <c r="H18" s="52" t="s">
        <v>103</v>
      </c>
      <c r="K18" s="42"/>
    </row>
    <row r="19" spans="1:11" ht="69.75" thickBot="1" x14ac:dyDescent="0.3">
      <c r="A19" s="51">
        <v>10</v>
      </c>
      <c r="B19" s="38" t="s">
        <v>104</v>
      </c>
      <c r="C19" s="38" t="s">
        <v>105</v>
      </c>
      <c r="D19" s="38" t="s">
        <v>106</v>
      </c>
      <c r="E19" s="38" t="s">
        <v>107</v>
      </c>
      <c r="F19" s="45">
        <f>G19*$B$1</f>
        <v>67500</v>
      </c>
      <c r="G19" s="49">
        <v>750</v>
      </c>
      <c r="H19" s="52" t="s">
        <v>108</v>
      </c>
      <c r="K19" s="47" t="s">
        <v>109</v>
      </c>
    </row>
    <row r="20" spans="1:11" ht="30.75" thickBot="1" x14ac:dyDescent="0.3">
      <c r="A20" s="51">
        <v>11</v>
      </c>
      <c r="B20" s="38" t="s">
        <v>110</v>
      </c>
      <c r="C20" s="38" t="s">
        <v>111</v>
      </c>
      <c r="D20" s="38" t="s">
        <v>68</v>
      </c>
      <c r="E20" s="38" t="s">
        <v>69</v>
      </c>
      <c r="F20" s="45">
        <f>G20*$B$1</f>
        <v>135000</v>
      </c>
      <c r="G20" s="49">
        <v>1500</v>
      </c>
      <c r="H20" s="52" t="s">
        <v>108</v>
      </c>
      <c r="K20" s="47"/>
    </row>
    <row r="21" spans="1:11" ht="30.75" thickBot="1" x14ac:dyDescent="0.3">
      <c r="A21" s="51">
        <v>12</v>
      </c>
      <c r="B21" s="38" t="s">
        <v>112</v>
      </c>
      <c r="C21" s="38" t="s">
        <v>113</v>
      </c>
      <c r="D21" s="38" t="s">
        <v>114</v>
      </c>
      <c r="E21" s="38" t="s">
        <v>69</v>
      </c>
      <c r="F21" s="45">
        <f>G21*$B$1</f>
        <v>450000</v>
      </c>
      <c r="G21" s="49">
        <v>5000</v>
      </c>
      <c r="H21" s="52" t="s">
        <v>108</v>
      </c>
      <c r="K21" s="47"/>
    </row>
    <row r="22" spans="1:11" ht="30.75" thickBot="1" x14ac:dyDescent="0.3">
      <c r="A22" s="51">
        <v>13</v>
      </c>
      <c r="B22" s="38" t="s">
        <v>115</v>
      </c>
      <c r="C22" s="38" t="s">
        <v>116</v>
      </c>
      <c r="D22" s="38" t="s">
        <v>68</v>
      </c>
      <c r="E22" s="38" t="s">
        <v>69</v>
      </c>
      <c r="F22" s="45">
        <f>G22*$B$1</f>
        <v>337500</v>
      </c>
      <c r="G22" s="49">
        <v>3750</v>
      </c>
      <c r="H22" s="52" t="s">
        <v>108</v>
      </c>
      <c r="K22" s="47"/>
    </row>
    <row r="23" spans="1:11" ht="30.75" thickBot="1" x14ac:dyDescent="0.3">
      <c r="A23" s="51">
        <v>14</v>
      </c>
      <c r="B23" s="38" t="s">
        <v>117</v>
      </c>
      <c r="C23" s="38" t="s">
        <v>118</v>
      </c>
      <c r="D23" s="38" t="s">
        <v>119</v>
      </c>
      <c r="E23" s="38" t="s">
        <v>102</v>
      </c>
      <c r="F23" s="45">
        <f>G23*$B$1</f>
        <v>20.7</v>
      </c>
      <c r="G23" s="48">
        <v>0.23</v>
      </c>
      <c r="H23" s="52" t="s">
        <v>108</v>
      </c>
      <c r="K23" s="47"/>
    </row>
    <row r="24" spans="1:11" ht="30.75" thickBot="1" x14ac:dyDescent="0.3">
      <c r="A24" s="51">
        <v>15</v>
      </c>
      <c r="B24" s="38" t="s">
        <v>120</v>
      </c>
      <c r="C24" s="38" t="s">
        <v>121</v>
      </c>
      <c r="D24" s="38" t="s">
        <v>119</v>
      </c>
      <c r="E24" s="38" t="s">
        <v>122</v>
      </c>
      <c r="F24" s="50">
        <v>0.2</v>
      </c>
      <c r="G24" s="38" t="s">
        <v>123</v>
      </c>
      <c r="H24" s="52" t="s">
        <v>124</v>
      </c>
      <c r="K24" s="47"/>
    </row>
    <row r="25" spans="1:11" ht="45.75" thickBot="1" x14ac:dyDescent="0.3">
      <c r="A25" s="51">
        <v>16</v>
      </c>
      <c r="B25" s="38" t="s">
        <v>125</v>
      </c>
      <c r="C25" s="38" t="s">
        <v>126</v>
      </c>
      <c r="D25" s="38" t="s">
        <v>80</v>
      </c>
      <c r="E25" s="38" t="s">
        <v>81</v>
      </c>
      <c r="F25" s="45">
        <v>5</v>
      </c>
      <c r="G25" s="43">
        <f t="shared" ref="G25" si="1">F25/$B$1</f>
        <v>5.5555555555555552E-2</v>
      </c>
      <c r="H25" s="52" t="s">
        <v>127</v>
      </c>
      <c r="K25" s="47">
        <f>1200000/B2</f>
        <v>63.157894736842103</v>
      </c>
    </row>
    <row r="26" spans="1:11" ht="30.75" thickBot="1" x14ac:dyDescent="0.3">
      <c r="A26" s="51">
        <v>17</v>
      </c>
      <c r="B26" s="38" t="s">
        <v>128</v>
      </c>
      <c r="C26" s="38" t="s">
        <v>129</v>
      </c>
      <c r="D26" s="38" t="s">
        <v>80</v>
      </c>
      <c r="E26" s="38" t="s">
        <v>130</v>
      </c>
      <c r="F26" s="50">
        <v>0.1</v>
      </c>
      <c r="G26" s="38" t="s">
        <v>123</v>
      </c>
      <c r="H26" s="52" t="s">
        <v>131</v>
      </c>
      <c r="K26" s="47"/>
    </row>
    <row r="27" spans="1:11" ht="30.75" thickBot="1" x14ac:dyDescent="0.3">
      <c r="A27" s="51">
        <v>18</v>
      </c>
      <c r="B27" s="38" t="s">
        <v>132</v>
      </c>
      <c r="C27" s="38" t="s">
        <v>133</v>
      </c>
      <c r="D27" s="38" t="s">
        <v>80</v>
      </c>
      <c r="E27" s="38" t="s">
        <v>134</v>
      </c>
      <c r="F27" s="50">
        <v>0.05</v>
      </c>
      <c r="G27" s="38" t="s">
        <v>123</v>
      </c>
      <c r="H27" s="52" t="s">
        <v>135</v>
      </c>
    </row>
    <row r="28" spans="1:11" ht="45" x14ac:dyDescent="0.25">
      <c r="A28" s="53">
        <v>19</v>
      </c>
      <c r="B28" s="54" t="s">
        <v>136</v>
      </c>
      <c r="C28" s="54" t="s">
        <v>137</v>
      </c>
      <c r="D28" s="54" t="s">
        <v>80</v>
      </c>
      <c r="E28" s="54" t="s">
        <v>138</v>
      </c>
      <c r="F28" s="55">
        <v>0.1</v>
      </c>
      <c r="G28" s="54" t="s">
        <v>123</v>
      </c>
      <c r="H28" s="56" t="s">
        <v>139</v>
      </c>
    </row>
    <row r="30" spans="1:11" ht="16.5" x14ac:dyDescent="0.2">
      <c r="B30" s="41"/>
    </row>
    <row r="31" spans="1:11" ht="16.5" x14ac:dyDescent="0.2">
      <c r="B31" s="41"/>
    </row>
    <row r="35" spans="2:5" ht="15.75" thickBot="1" x14ac:dyDescent="0.25"/>
    <row r="36" spans="2:5" ht="17.25" thickBot="1" x14ac:dyDescent="0.25">
      <c r="B36" s="38"/>
      <c r="C36" s="40"/>
      <c r="E36" s="42"/>
    </row>
    <row r="37" spans="2:5" ht="17.25" thickBot="1" x14ac:dyDescent="0.25">
      <c r="B37" s="38"/>
      <c r="C37" s="39"/>
      <c r="D37" s="39"/>
    </row>
    <row r="38" spans="2:5" ht="17.25" thickBot="1" x14ac:dyDescent="0.25">
      <c r="B38" s="38"/>
    </row>
    <row r="39" spans="2:5" ht="17.25" thickBot="1" x14ac:dyDescent="0.25">
      <c r="B39" s="38"/>
    </row>
    <row r="40" spans="2:5" ht="17.25" thickBot="1" x14ac:dyDescent="0.25">
      <c r="B40" s="38"/>
    </row>
    <row r="41" spans="2:5" ht="17.25" thickBot="1" x14ac:dyDescent="0.25">
      <c r="B41" s="38"/>
    </row>
    <row r="42" spans="2:5" ht="17.25" thickBot="1" x14ac:dyDescent="0.25">
      <c r="B42" s="38"/>
    </row>
    <row r="43" spans="2:5" ht="17.25" thickBot="1" x14ac:dyDescent="0.25">
      <c r="B43" s="38"/>
    </row>
    <row r="44" spans="2:5" ht="17.25" thickBot="1" x14ac:dyDescent="0.25">
      <c r="B44" s="38"/>
    </row>
    <row r="45" spans="2:5" ht="17.25" thickBot="1" x14ac:dyDescent="0.25">
      <c r="B45" s="38"/>
    </row>
    <row r="46" spans="2:5" ht="17.25" thickBot="1" x14ac:dyDescent="0.25">
      <c r="B46" s="38"/>
    </row>
    <row r="47" spans="2:5" ht="17.25" thickBot="1" x14ac:dyDescent="0.25">
      <c r="B47" s="38"/>
    </row>
    <row r="48" spans="2:5" ht="17.25" thickBot="1" x14ac:dyDescent="0.25">
      <c r="B48" s="38"/>
    </row>
    <row r="49" spans="2:2" ht="17.25" thickBot="1" x14ac:dyDescent="0.25">
      <c r="B49" s="38"/>
    </row>
    <row r="50" spans="2:2" ht="17.25" thickBot="1" x14ac:dyDescent="0.25">
      <c r="B50" s="38"/>
    </row>
    <row r="51" spans="2:2" ht="17.25" thickBot="1" x14ac:dyDescent="0.25">
      <c r="B51" s="38"/>
    </row>
    <row r="52" spans="2:2" ht="17.25" thickBot="1" x14ac:dyDescent="0.25">
      <c r="B52" s="38"/>
    </row>
    <row r="53" spans="2:2" ht="17.25" thickBot="1" x14ac:dyDescent="0.25">
      <c r="B53" s="38"/>
    </row>
    <row r="54" spans="2:2" ht="17.25" thickBot="1" x14ac:dyDescent="0.25">
      <c r="B54" s="38"/>
    </row>
    <row r="55" spans="2:2" ht="17.25" thickBot="1" x14ac:dyDescent="0.25">
      <c r="B55" s="38"/>
    </row>
    <row r="56" spans="2:2" ht="17.25" thickBot="1" x14ac:dyDescent="0.25">
      <c r="B56" s="38"/>
    </row>
    <row r="57" spans="2:2" ht="17.25" thickBot="1" x14ac:dyDescent="0.25">
      <c r="B57" s="3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F6221-4888-4324-BF3C-54C40840D8C0}">
  <dimension ref="A2:AC49"/>
  <sheetViews>
    <sheetView showGridLines="0" tabSelected="1" topLeftCell="B1" workbookViewId="0">
      <selection activeCell="C7" sqref="C7"/>
    </sheetView>
  </sheetViews>
  <sheetFormatPr defaultRowHeight="15" x14ac:dyDescent="0.2"/>
  <cols>
    <col min="2" max="2" width="25.55859375" bestFit="1" customWidth="1"/>
    <col min="3" max="3" width="25.55859375" customWidth="1"/>
    <col min="4" max="5" width="13.85546875" bestFit="1" customWidth="1"/>
    <col min="6" max="7" width="14.390625" bestFit="1" customWidth="1"/>
    <col min="8" max="9" width="14.796875" bestFit="1" customWidth="1"/>
    <col min="10" max="29" width="15.46875" bestFit="1" customWidth="1"/>
  </cols>
  <sheetData>
    <row r="2" spans="2:29" x14ac:dyDescent="0.2"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</row>
    <row r="3" spans="2:29" ht="15.75" thickBot="1" x14ac:dyDescent="0.25">
      <c r="B3" s="68" t="s">
        <v>140</v>
      </c>
      <c r="C3" s="68" t="s">
        <v>33</v>
      </c>
      <c r="D3" s="68" t="s">
        <v>141</v>
      </c>
      <c r="E3" s="68" t="s">
        <v>142</v>
      </c>
      <c r="F3" s="68" t="s">
        <v>143</v>
      </c>
      <c r="G3" s="68" t="s">
        <v>144</v>
      </c>
      <c r="H3" s="68" t="s">
        <v>145</v>
      </c>
      <c r="I3" s="68" t="s">
        <v>146</v>
      </c>
      <c r="J3" s="68" t="s">
        <v>147</v>
      </c>
      <c r="K3" s="68" t="s">
        <v>148</v>
      </c>
      <c r="L3" s="68" t="s">
        <v>149</v>
      </c>
      <c r="M3" s="68" t="s">
        <v>150</v>
      </c>
      <c r="N3" s="68" t="s">
        <v>151</v>
      </c>
      <c r="O3" s="68" t="s">
        <v>152</v>
      </c>
      <c r="P3" s="68" t="s">
        <v>153</v>
      </c>
      <c r="Q3" s="68" t="s">
        <v>154</v>
      </c>
      <c r="R3" s="68" t="s">
        <v>155</v>
      </c>
      <c r="S3" s="68" t="s">
        <v>156</v>
      </c>
      <c r="T3" s="68" t="s">
        <v>157</v>
      </c>
      <c r="U3" s="68" t="s">
        <v>158</v>
      </c>
      <c r="V3" s="68" t="s">
        <v>159</v>
      </c>
      <c r="W3" s="68" t="s">
        <v>160</v>
      </c>
      <c r="X3" s="68" t="s">
        <v>161</v>
      </c>
      <c r="Y3" s="68" t="s">
        <v>162</v>
      </c>
      <c r="Z3" s="68" t="s">
        <v>163</v>
      </c>
      <c r="AA3" s="68" t="s">
        <v>164</v>
      </c>
      <c r="AB3" s="68" t="s">
        <v>165</v>
      </c>
      <c r="AC3" s="68" t="s">
        <v>166</v>
      </c>
    </row>
    <row r="4" spans="2:29" x14ac:dyDescent="0.2">
      <c r="B4" t="s">
        <v>167</v>
      </c>
      <c r="C4" s="65">
        <f>L4</f>
        <v>300000</v>
      </c>
      <c r="D4" s="5">
        <v>19000</v>
      </c>
      <c r="E4" s="5">
        <v>28500</v>
      </c>
      <c r="F4" s="5">
        <v>44500</v>
      </c>
      <c r="G4" s="5">
        <v>64500</v>
      </c>
      <c r="H4" s="5">
        <v>104500</v>
      </c>
      <c r="I4" s="5">
        <v>144500</v>
      </c>
      <c r="J4" s="5">
        <v>200000</v>
      </c>
      <c r="K4" s="5">
        <v>250000</v>
      </c>
      <c r="L4" s="5">
        <v>300000</v>
      </c>
      <c r="M4" s="5">
        <v>300000</v>
      </c>
      <c r="N4" s="5">
        <v>300000</v>
      </c>
      <c r="O4" s="5">
        <v>300000</v>
      </c>
      <c r="P4" s="5">
        <v>300000</v>
      </c>
      <c r="Q4" s="5">
        <v>300000</v>
      </c>
      <c r="R4" s="5">
        <v>300000</v>
      </c>
      <c r="S4" s="5">
        <v>300000</v>
      </c>
      <c r="T4" s="5">
        <v>300000</v>
      </c>
      <c r="U4" s="5">
        <v>300000</v>
      </c>
      <c r="V4" s="5">
        <v>300000</v>
      </c>
      <c r="W4" s="5">
        <v>300000</v>
      </c>
      <c r="X4" s="5">
        <v>300000</v>
      </c>
      <c r="Y4" s="5">
        <v>300000</v>
      </c>
      <c r="Z4" s="5">
        <v>300000</v>
      </c>
      <c r="AA4" s="5">
        <v>300000</v>
      </c>
      <c r="AB4" s="5">
        <v>300000</v>
      </c>
      <c r="AC4" s="5">
        <v>300000</v>
      </c>
    </row>
    <row r="5" spans="2:29" x14ac:dyDescent="0.2">
      <c r="B5" s="21" t="s">
        <v>168</v>
      </c>
      <c r="C5" s="21">
        <f>L5</f>
        <v>360000</v>
      </c>
      <c r="D5" s="21">
        <f>D4*Input_Agri_srajesh!$B$3</f>
        <v>22800</v>
      </c>
      <c r="E5" s="21">
        <f>E4*Input_Agri_srajesh!$B$3</f>
        <v>34200</v>
      </c>
      <c r="F5" s="21">
        <f>F4*Input_Agri_srajesh!$B$3</f>
        <v>53400</v>
      </c>
      <c r="G5" s="21">
        <f>G4*Input_Agri_srajesh!$B$3</f>
        <v>77400</v>
      </c>
      <c r="H5" s="21">
        <f>H4*Input_Agri_srajesh!$B$3</f>
        <v>125400</v>
      </c>
      <c r="I5" s="21">
        <f>I4*Input_Agri_srajesh!$B$3</f>
        <v>173400</v>
      </c>
      <c r="J5" s="21">
        <f>J4*Input_Agri_srajesh!$B$3</f>
        <v>240000</v>
      </c>
      <c r="K5" s="21">
        <f>K4*Input_Agri_srajesh!$B$3</f>
        <v>300000</v>
      </c>
      <c r="L5" s="21">
        <f>L4*Input_Agri_srajesh!$B$3</f>
        <v>360000</v>
      </c>
      <c r="M5" s="21">
        <f>M4*Input_Agri_srajesh!$B$3</f>
        <v>360000</v>
      </c>
      <c r="N5" s="21">
        <f>N4*Input_Agri_srajesh!$B$3</f>
        <v>360000</v>
      </c>
      <c r="O5" s="21">
        <f>O4*Input_Agri_srajesh!$B$3</f>
        <v>360000</v>
      </c>
      <c r="P5" s="21">
        <f>P4*Input_Agri_srajesh!$B$3</f>
        <v>360000</v>
      </c>
      <c r="Q5" s="21">
        <f>Q4*Input_Agri_srajesh!$B$3</f>
        <v>360000</v>
      </c>
      <c r="R5" s="21">
        <f>R4*Input_Agri_srajesh!$B$3</f>
        <v>360000</v>
      </c>
      <c r="S5" s="21">
        <f>S4*Input_Agri_srajesh!$B$3</f>
        <v>360000</v>
      </c>
      <c r="T5" s="21">
        <f>T4*Input_Agri_srajesh!$B$3</f>
        <v>360000</v>
      </c>
      <c r="U5" s="21">
        <f>U4*Input_Agri_srajesh!$B$3</f>
        <v>360000</v>
      </c>
      <c r="V5" s="21">
        <f>V4*Input_Agri_srajesh!$B$3</f>
        <v>360000</v>
      </c>
      <c r="W5" s="21">
        <f>W4*Input_Agri_srajesh!$B$3</f>
        <v>360000</v>
      </c>
      <c r="X5" s="21">
        <f>X4*Input_Agri_srajesh!$B$3</f>
        <v>360000</v>
      </c>
      <c r="Y5" s="21">
        <f>Y4*Input_Agri_srajesh!$B$3</f>
        <v>360000</v>
      </c>
      <c r="Z5" s="21">
        <f>Z4*Input_Agri_srajesh!$B$3</f>
        <v>360000</v>
      </c>
      <c r="AA5" s="21">
        <f>AA4*Input_Agri_srajesh!$B$3</f>
        <v>360000</v>
      </c>
      <c r="AB5" s="21">
        <f>AB4*Input_Agri_srajesh!$B$3</f>
        <v>360000</v>
      </c>
      <c r="AC5" s="21">
        <f>AC4*Input_Agri_srajesh!$B$3</f>
        <v>360000</v>
      </c>
    </row>
    <row r="6" spans="2:29" x14ac:dyDescent="0.2">
      <c r="B6" t="s">
        <v>169</v>
      </c>
      <c r="C6">
        <f>SUM(D6:AC6)</f>
        <v>13511880</v>
      </c>
      <c r="D6">
        <f>D5*Input_Agri_srajesh!$B$5</f>
        <v>41040</v>
      </c>
      <c r="E6">
        <f>E5*Input_Agri_srajesh!$B$5</f>
        <v>61560</v>
      </c>
      <c r="F6">
        <f>F5*Input_Agri_srajesh!$B$5</f>
        <v>96120</v>
      </c>
      <c r="G6">
        <f>G5*Input_Agri_srajesh!$B$5</f>
        <v>139320</v>
      </c>
      <c r="H6">
        <f>H5*Input_Agri_srajesh!$B$5</f>
        <v>225720</v>
      </c>
      <c r="I6">
        <f>I5*Input_Agri_srajesh!$B$5</f>
        <v>312120</v>
      </c>
      <c r="J6">
        <f>J5*Input_Agri_srajesh!$B$5</f>
        <v>432000</v>
      </c>
      <c r="K6">
        <f>K5*Input_Agri_srajesh!$B$5</f>
        <v>540000</v>
      </c>
      <c r="L6">
        <f>L5*Input_Agri_srajesh!$B$5</f>
        <v>648000</v>
      </c>
      <c r="M6">
        <f>M5*Input_Agri_srajesh!$B$5</f>
        <v>648000</v>
      </c>
      <c r="N6">
        <f>N5*Input_Agri_srajesh!$B$5</f>
        <v>648000</v>
      </c>
      <c r="O6">
        <f>O5*Input_Agri_srajesh!$B$5</f>
        <v>648000</v>
      </c>
      <c r="P6">
        <f>P5*Input_Agri_srajesh!$B$5</f>
        <v>648000</v>
      </c>
      <c r="Q6">
        <f>Q5*Input_Agri_srajesh!$B$5</f>
        <v>648000</v>
      </c>
      <c r="R6">
        <f>R5*Input_Agri_srajesh!$B$5</f>
        <v>648000</v>
      </c>
      <c r="S6">
        <f>S5*Input_Agri_srajesh!$B$5</f>
        <v>648000</v>
      </c>
      <c r="T6">
        <f>T5*Input_Agri_srajesh!$B$5</f>
        <v>648000</v>
      </c>
      <c r="U6">
        <f>U5*Input_Agri_srajesh!$B$5</f>
        <v>648000</v>
      </c>
      <c r="V6">
        <f>V5*Input_Agri_srajesh!$B$5</f>
        <v>648000</v>
      </c>
      <c r="W6">
        <f>W5*Input_Agri_srajesh!$B$5</f>
        <v>648000</v>
      </c>
      <c r="X6">
        <f>X5*Input_Agri_srajesh!$B$5</f>
        <v>648000</v>
      </c>
      <c r="Y6">
        <f>Y5*Input_Agri_srajesh!$B$5</f>
        <v>648000</v>
      </c>
      <c r="Z6">
        <f>Z5*Input_Agri_srajesh!$B$5</f>
        <v>648000</v>
      </c>
      <c r="AA6">
        <f>AA5*Input_Agri_srajesh!$B$5</f>
        <v>648000</v>
      </c>
      <c r="AB6">
        <f>AB5*Input_Agri_srajesh!$B$5</f>
        <v>648000</v>
      </c>
      <c r="AC6">
        <f>AC5*Input_Agri_srajesh!$B$5</f>
        <v>648000</v>
      </c>
    </row>
    <row r="7" spans="2:29" x14ac:dyDescent="0.2">
      <c r="B7" t="s">
        <v>170</v>
      </c>
      <c r="C7">
        <f>SUM(D7:AC7)</f>
        <v>10809504</v>
      </c>
      <c r="D7">
        <f>D6*(1-20%)</f>
        <v>32832</v>
      </c>
      <c r="E7">
        <f t="shared" ref="E7:AC7" si="0">E6*(1-20%)</f>
        <v>49248</v>
      </c>
      <c r="F7">
        <f t="shared" si="0"/>
        <v>76896</v>
      </c>
      <c r="G7">
        <f t="shared" si="0"/>
        <v>111456</v>
      </c>
      <c r="H7">
        <f t="shared" si="0"/>
        <v>180576</v>
      </c>
      <c r="I7">
        <f t="shared" si="0"/>
        <v>249696</v>
      </c>
      <c r="J7">
        <f t="shared" si="0"/>
        <v>345600</v>
      </c>
      <c r="K7">
        <f t="shared" si="0"/>
        <v>432000</v>
      </c>
      <c r="L7">
        <f t="shared" si="0"/>
        <v>518400</v>
      </c>
      <c r="M7">
        <f t="shared" si="0"/>
        <v>518400</v>
      </c>
      <c r="N7">
        <f t="shared" si="0"/>
        <v>518400</v>
      </c>
      <c r="O7">
        <f t="shared" si="0"/>
        <v>518400</v>
      </c>
      <c r="P7">
        <f t="shared" si="0"/>
        <v>518400</v>
      </c>
      <c r="Q7">
        <f t="shared" si="0"/>
        <v>518400</v>
      </c>
      <c r="R7">
        <f t="shared" si="0"/>
        <v>518400</v>
      </c>
      <c r="S7">
        <f t="shared" si="0"/>
        <v>518400</v>
      </c>
      <c r="T7">
        <f t="shared" si="0"/>
        <v>518400</v>
      </c>
      <c r="U7">
        <f t="shared" si="0"/>
        <v>518400</v>
      </c>
      <c r="V7">
        <f t="shared" si="0"/>
        <v>518400</v>
      </c>
      <c r="W7">
        <f t="shared" si="0"/>
        <v>518400</v>
      </c>
      <c r="X7">
        <f t="shared" si="0"/>
        <v>518400</v>
      </c>
      <c r="Y7">
        <f t="shared" si="0"/>
        <v>518400</v>
      </c>
      <c r="Z7">
        <f t="shared" si="0"/>
        <v>518400</v>
      </c>
      <c r="AA7">
        <f t="shared" si="0"/>
        <v>518400</v>
      </c>
      <c r="AB7">
        <f t="shared" si="0"/>
        <v>518400</v>
      </c>
      <c r="AC7">
        <f t="shared" si="0"/>
        <v>518400</v>
      </c>
    </row>
    <row r="8" spans="2:29" x14ac:dyDescent="0.2">
      <c r="B8" t="s">
        <v>171</v>
      </c>
      <c r="H8" t="s">
        <v>80</v>
      </c>
      <c r="L8" t="s">
        <v>80</v>
      </c>
      <c r="P8" t="s">
        <v>80</v>
      </c>
      <c r="T8" t="s">
        <v>80</v>
      </c>
      <c r="X8" t="s">
        <v>80</v>
      </c>
      <c r="AB8" t="s">
        <v>80</v>
      </c>
      <c r="AC8" t="s">
        <v>80</v>
      </c>
    </row>
    <row r="9" spans="2:29" x14ac:dyDescent="0.2">
      <c r="B9" t="s">
        <v>172</v>
      </c>
      <c r="H9" t="s">
        <v>80</v>
      </c>
      <c r="J9" t="s">
        <v>80</v>
      </c>
      <c r="L9" t="s">
        <v>80</v>
      </c>
      <c r="N9" t="s">
        <v>80</v>
      </c>
      <c r="P9" t="s">
        <v>80</v>
      </c>
      <c r="R9" t="s">
        <v>80</v>
      </c>
      <c r="T9" t="s">
        <v>80</v>
      </c>
      <c r="V9" t="s">
        <v>80</v>
      </c>
      <c r="X9" t="s">
        <v>80</v>
      </c>
      <c r="Z9" t="s">
        <v>80</v>
      </c>
      <c r="AB9" t="s">
        <v>80</v>
      </c>
      <c r="AC9" t="s">
        <v>80</v>
      </c>
    </row>
    <row r="10" spans="2:29" x14ac:dyDescent="0.2">
      <c r="B10" t="s">
        <v>173</v>
      </c>
      <c r="D10">
        <v>1</v>
      </c>
      <c r="E10">
        <f>D10*(1+Input_Agri_srajesh!$B$4)</f>
        <v>1.05</v>
      </c>
      <c r="F10">
        <f>E10*(1+Input_Agri_srajesh!$B$4)</f>
        <v>1.1025</v>
      </c>
      <c r="G10">
        <f>F10*(1+Input_Agri_srajesh!$B$4)</f>
        <v>1.1576250000000001</v>
      </c>
      <c r="H10">
        <f>G10*(1+Input_Agri_srajesh!$B$4)</f>
        <v>1.2155062500000002</v>
      </c>
      <c r="I10">
        <f>H10*(1+Input_Agri_srajesh!$B$4)</f>
        <v>1.2762815625000004</v>
      </c>
      <c r="J10">
        <f>I10*(1+Input_Agri_srajesh!$B$4)</f>
        <v>1.3400956406250004</v>
      </c>
      <c r="K10">
        <f>J10*(1+Input_Agri_srajesh!$B$4)</f>
        <v>1.4071004226562505</v>
      </c>
      <c r="L10">
        <f>K10*(1+Input_Agri_srajesh!$B$4)</f>
        <v>1.477455443789063</v>
      </c>
      <c r="M10">
        <f>L10*(1+Input_Agri_srajesh!$B$4)</f>
        <v>1.5513282159785162</v>
      </c>
      <c r="N10">
        <f>M10*(1+Input_Agri_srajesh!$B$4)</f>
        <v>1.628894626777442</v>
      </c>
      <c r="O10">
        <f>N10*(1+Input_Agri_srajesh!$B$4)</f>
        <v>1.7103393581163142</v>
      </c>
      <c r="P10">
        <f>O10*(1+Input_Agri_srajesh!$B$4)</f>
        <v>1.7958563260221301</v>
      </c>
      <c r="Q10">
        <f>P10*(1+Input_Agri_srajesh!$B$4)</f>
        <v>1.8856491423232367</v>
      </c>
      <c r="R10">
        <f>Q10*(1+Input_Agri_srajesh!$B$4)</f>
        <v>1.9799315994393987</v>
      </c>
      <c r="S10">
        <f>R10*(1+Input_Agri_srajesh!$B$4)</f>
        <v>2.0789281794113688</v>
      </c>
      <c r="T10">
        <f>S10*(1+Input_Agri_srajesh!$B$4)</f>
        <v>2.1828745883819374</v>
      </c>
      <c r="U10">
        <f>T10*(1+Input_Agri_srajesh!$B$4)</f>
        <v>2.2920183178010345</v>
      </c>
      <c r="V10">
        <f>U10*(1+Input_Agri_srajesh!$B$4)</f>
        <v>2.4066192336910861</v>
      </c>
      <c r="W10">
        <f>V10*(1+Input_Agri_srajesh!$B$4)</f>
        <v>2.5269501953756404</v>
      </c>
      <c r="X10">
        <f>W10*(1+Input_Agri_srajesh!$B$4)</f>
        <v>2.6532977051444226</v>
      </c>
      <c r="Y10">
        <f>X10*(1+Input_Agri_srajesh!$B$4)</f>
        <v>2.7859625904016441</v>
      </c>
      <c r="Z10">
        <f>Y10*(1+Input_Agri_srajesh!$B$4)</f>
        <v>2.9252607199217264</v>
      </c>
      <c r="AA10">
        <f>Z10*(1+Input_Agri_srajesh!$B$4)</f>
        <v>3.0715237559178128</v>
      </c>
      <c r="AB10">
        <f>AA10*(1+Input_Agri_srajesh!$B$4)</f>
        <v>3.2250999437137038</v>
      </c>
      <c r="AC10">
        <f>AB10*(1+Input_Agri_srajesh!$B$4)</f>
        <v>3.3863549408993889</v>
      </c>
    </row>
    <row r="11" spans="2:29" ht="15.6" customHeight="1" x14ac:dyDescent="0.2">
      <c r="B11" t="s">
        <v>174</v>
      </c>
      <c r="C11" s="42">
        <f>AVERAGE(D11:AC11)</f>
        <v>35.386237217691082</v>
      </c>
      <c r="D11" s="42">
        <f>Input_Agri_srajesh!$B$6*Projection_Agri_Srajesh!D10</f>
        <v>18</v>
      </c>
      <c r="E11" s="42">
        <f>Input_Agri_srajesh!$B$6*Projection_Agri_Srajesh!E10</f>
        <v>18.900000000000002</v>
      </c>
      <c r="F11" s="42">
        <f>Input_Agri_srajesh!$B$6*Projection_Agri_Srajesh!F10</f>
        <v>19.844999999999999</v>
      </c>
      <c r="G11" s="42">
        <f>Input_Agri_srajesh!$B$6*Projection_Agri_Srajesh!G10</f>
        <v>20.837250000000001</v>
      </c>
      <c r="H11" s="42">
        <f>Input_Agri_srajesh!$B$6*Projection_Agri_Srajesh!H10</f>
        <v>21.879112500000005</v>
      </c>
      <c r="I11" s="42">
        <f>Input_Agri_srajesh!$B$6*Projection_Agri_Srajesh!I10</f>
        <v>22.973068125000005</v>
      </c>
      <c r="J11" s="42">
        <f>Input_Agri_srajesh!$B$6*Projection_Agri_Srajesh!J10</f>
        <v>24.121721531250007</v>
      </c>
      <c r="K11" s="42">
        <f>Input_Agri_srajesh!$B$6*Projection_Agri_Srajesh!K10</f>
        <v>25.32780760781251</v>
      </c>
      <c r="L11" s="42">
        <f>Input_Agri_srajesh!$B$6*Projection_Agri_Srajesh!L10</f>
        <v>26.594197988203135</v>
      </c>
      <c r="M11" s="42">
        <f>Input_Agri_srajesh!$B$6*Projection_Agri_Srajesh!M10</f>
        <v>27.923907887613293</v>
      </c>
      <c r="N11" s="42">
        <f>Input_Agri_srajesh!$B$6*Projection_Agri_Srajesh!N10</f>
        <v>29.320103281993955</v>
      </c>
      <c r="O11" s="42">
        <f>Input_Agri_srajesh!$B$6*Projection_Agri_Srajesh!O10</f>
        <v>30.786108446093657</v>
      </c>
      <c r="P11" s="42">
        <f>Input_Agri_srajesh!$B$6*Projection_Agri_Srajesh!P10</f>
        <v>32.325413868398343</v>
      </c>
      <c r="Q11" s="42">
        <f>Input_Agri_srajesh!$B$6*Projection_Agri_Srajesh!Q10</f>
        <v>33.941684561818263</v>
      </c>
      <c r="R11" s="42">
        <f>Input_Agri_srajesh!$B$6*Projection_Agri_Srajesh!R10</f>
        <v>35.638768789909179</v>
      </c>
      <c r="S11" s="42">
        <f>Input_Agri_srajesh!$B$6*Projection_Agri_Srajesh!S10</f>
        <v>37.420707229404641</v>
      </c>
      <c r="T11" s="42">
        <f>Input_Agri_srajesh!$B$6*Projection_Agri_Srajesh!T10</f>
        <v>39.291742590874875</v>
      </c>
      <c r="U11" s="42">
        <f>Input_Agri_srajesh!$B$6*Projection_Agri_Srajesh!U10</f>
        <v>41.25632972041862</v>
      </c>
      <c r="V11" s="42">
        <f>Input_Agri_srajesh!$B$6*Projection_Agri_Srajesh!V10</f>
        <v>43.319146206439548</v>
      </c>
      <c r="W11" s="42">
        <f>Input_Agri_srajesh!$B$6*Projection_Agri_Srajesh!W10</f>
        <v>45.485103516761527</v>
      </c>
      <c r="X11" s="42">
        <f>Input_Agri_srajesh!$B$6*Projection_Agri_Srajesh!X10</f>
        <v>47.759358692599605</v>
      </c>
      <c r="Y11" s="42">
        <f>Input_Agri_srajesh!$B$6*Projection_Agri_Srajesh!Y10</f>
        <v>50.147326627229596</v>
      </c>
      <c r="Z11" s="42">
        <f>Input_Agri_srajesh!$B$6*Projection_Agri_Srajesh!Z10</f>
        <v>52.654692958591077</v>
      </c>
      <c r="AA11" s="42">
        <f>Input_Agri_srajesh!$B$6*Projection_Agri_Srajesh!AA10</f>
        <v>55.28742760652063</v>
      </c>
      <c r="AB11" s="42">
        <f>Input_Agri_srajesh!$B$6*Projection_Agri_Srajesh!AB10</f>
        <v>58.05179898684667</v>
      </c>
      <c r="AC11" s="42">
        <f>Input_Agri_srajesh!$B$6*Projection_Agri_Srajesh!AC10</f>
        <v>60.954388936188998</v>
      </c>
    </row>
    <row r="12" spans="2:29" ht="2.1" customHeight="1" x14ac:dyDescent="0.2"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</row>
    <row r="13" spans="2:29" ht="15.6" customHeight="1" x14ac:dyDescent="0.2">
      <c r="B13" s="1" t="s">
        <v>175</v>
      </c>
      <c r="C13" s="66">
        <f>SUM(D13:AC13)</f>
        <v>422180621.5143525</v>
      </c>
      <c r="D13" s="42">
        <f>D7*D11</f>
        <v>590976</v>
      </c>
      <c r="E13" s="42">
        <f t="shared" ref="E13:AC13" si="1">E7*E11</f>
        <v>930787.20000000007</v>
      </c>
      <c r="F13" s="42">
        <f t="shared" si="1"/>
        <v>1526001.1199999999</v>
      </c>
      <c r="G13" s="42">
        <f t="shared" si="1"/>
        <v>2322436.5360000003</v>
      </c>
      <c r="H13" s="42">
        <f t="shared" si="1"/>
        <v>3950842.6188000008</v>
      </c>
      <c r="I13" s="42">
        <f t="shared" si="1"/>
        <v>5736283.2185400007</v>
      </c>
      <c r="J13" s="42">
        <f t="shared" si="1"/>
        <v>8336466.9612000026</v>
      </c>
      <c r="K13" s="42">
        <f t="shared" si="1"/>
        <v>10941612.886575004</v>
      </c>
      <c r="L13" s="42">
        <f t="shared" si="1"/>
        <v>13786432.237084504</v>
      </c>
      <c r="M13" s="42">
        <f t="shared" si="1"/>
        <v>14475753.848938731</v>
      </c>
      <c r="N13" s="42">
        <f t="shared" si="1"/>
        <v>15199541.541385666</v>
      </c>
      <c r="O13" s="42">
        <f t="shared" si="1"/>
        <v>15959518.618454952</v>
      </c>
      <c r="P13" s="42">
        <f t="shared" si="1"/>
        <v>16757494.5493777</v>
      </c>
      <c r="Q13" s="42">
        <f t="shared" si="1"/>
        <v>17595369.276846588</v>
      </c>
      <c r="R13" s="42">
        <f t="shared" si="1"/>
        <v>18475137.74068892</v>
      </c>
      <c r="S13" s="42">
        <f t="shared" si="1"/>
        <v>19398894.627723366</v>
      </c>
      <c r="T13" s="42">
        <f t="shared" si="1"/>
        <v>20368839.359109536</v>
      </c>
      <c r="U13" s="42">
        <f t="shared" si="1"/>
        <v>21387281.327065013</v>
      </c>
      <c r="V13" s="42">
        <f t="shared" si="1"/>
        <v>22456645.39341826</v>
      </c>
      <c r="W13" s="42">
        <f t="shared" si="1"/>
        <v>23579477.663089175</v>
      </c>
      <c r="X13" s="42">
        <f t="shared" si="1"/>
        <v>24758451.546243634</v>
      </c>
      <c r="Y13" s="42">
        <f t="shared" si="1"/>
        <v>25996374.123555824</v>
      </c>
      <c r="Z13" s="42">
        <f t="shared" si="1"/>
        <v>27296192.829733614</v>
      </c>
      <c r="AA13" s="42">
        <f t="shared" si="1"/>
        <v>28661002.471220296</v>
      </c>
      <c r="AB13" s="42">
        <f t="shared" si="1"/>
        <v>30094052.594781313</v>
      </c>
      <c r="AC13" s="42">
        <f t="shared" si="1"/>
        <v>31598755.224520378</v>
      </c>
    </row>
    <row r="14" spans="2:29" ht="15.6" customHeight="1" x14ac:dyDescent="0.2">
      <c r="B14" t="s">
        <v>176</v>
      </c>
      <c r="D14" s="42"/>
      <c r="E14" s="42"/>
      <c r="F14" s="42"/>
      <c r="G14" s="42"/>
      <c r="H14" s="42">
        <f>SUM(D13:H13)</f>
        <v>9321043.4748000018</v>
      </c>
      <c r="I14" s="42"/>
      <c r="J14" s="42">
        <f>SUM(I13:J13)</f>
        <v>14072750.179740004</v>
      </c>
      <c r="K14" s="42"/>
      <c r="L14" s="42">
        <f>SUM(K13:L13)</f>
        <v>24728045.123659506</v>
      </c>
      <c r="M14" s="42"/>
      <c r="N14" s="42">
        <f>SUM(M13:N13)</f>
        <v>29675295.390324399</v>
      </c>
      <c r="O14" s="42"/>
      <c r="P14" s="42">
        <f>SUM(O13:P13)</f>
        <v>32717013.16783265</v>
      </c>
      <c r="Q14" s="42"/>
      <c r="R14" s="42">
        <f>SUM(Q13:R13)</f>
        <v>36070507.017535508</v>
      </c>
      <c r="S14" s="42"/>
      <c r="T14" s="42">
        <f>SUM(S13:T13)</f>
        <v>39767733.986832902</v>
      </c>
      <c r="U14" s="42"/>
      <c r="V14" s="42">
        <f>SUM(U13:V13)</f>
        <v>43843926.720483273</v>
      </c>
      <c r="W14" s="42"/>
      <c r="X14" s="42">
        <f>SUM(W13:X13)</f>
        <v>48337929.209332809</v>
      </c>
      <c r="Y14" s="42"/>
      <c r="Z14" s="42">
        <f>SUM(Y13:Z13)</f>
        <v>53292566.953289434</v>
      </c>
      <c r="AA14" s="42"/>
      <c r="AB14" s="42">
        <f>SUM(AA13:AB13)</f>
        <v>58755055.066001609</v>
      </c>
      <c r="AC14" s="42">
        <f>SUM(AC13)</f>
        <v>31598755.224520378</v>
      </c>
    </row>
    <row r="15" spans="2:29" ht="15.6" customHeight="1" x14ac:dyDescent="0.2">
      <c r="B15" t="s">
        <v>136</v>
      </c>
      <c r="C15" s="42">
        <f>SUM(D15:AC15)</f>
        <v>42218062.151435241</v>
      </c>
      <c r="D15" s="42">
        <f>Input_Agri_srajesh!$F$28*Projection_Agri_Srajesh!D14</f>
        <v>0</v>
      </c>
      <c r="E15" s="42">
        <f>Input_Agri_srajesh!$F$28*Projection_Agri_Srajesh!E14</f>
        <v>0</v>
      </c>
      <c r="F15" s="42">
        <f>Input_Agri_srajesh!$F$28*Projection_Agri_Srajesh!F14</f>
        <v>0</v>
      </c>
      <c r="G15" s="42">
        <f>Input_Agri_srajesh!$F$28*Projection_Agri_Srajesh!G14</f>
        <v>0</v>
      </c>
      <c r="H15" s="42">
        <f>Input_Agri_srajesh!$F$28*Projection_Agri_Srajesh!H14</f>
        <v>932104.34748000023</v>
      </c>
      <c r="I15" s="42">
        <f>Input_Agri_srajesh!$F$28*Projection_Agri_Srajesh!I14</f>
        <v>0</v>
      </c>
      <c r="J15" s="42">
        <f>Input_Agri_srajesh!$F$28*Projection_Agri_Srajesh!J14</f>
        <v>1407275.0179740004</v>
      </c>
      <c r="K15" s="42">
        <f>Input_Agri_srajesh!$F$28*Projection_Agri_Srajesh!K14</f>
        <v>0</v>
      </c>
      <c r="L15" s="42">
        <f>Input_Agri_srajesh!$F$28*Projection_Agri_Srajesh!L14</f>
        <v>2472804.5123659507</v>
      </c>
      <c r="M15" s="42">
        <f>Input_Agri_srajesh!$F$28*Projection_Agri_Srajesh!M14</f>
        <v>0</v>
      </c>
      <c r="N15" s="42">
        <f>Input_Agri_srajesh!$F$28*Projection_Agri_Srajesh!N14</f>
        <v>2967529.5390324402</v>
      </c>
      <c r="O15" s="42">
        <f>Input_Agri_srajesh!$F$28*Projection_Agri_Srajesh!O14</f>
        <v>0</v>
      </c>
      <c r="P15" s="42">
        <f>Input_Agri_srajesh!$F$28*Projection_Agri_Srajesh!P14</f>
        <v>3271701.3167832652</v>
      </c>
      <c r="Q15" s="42">
        <f>Input_Agri_srajesh!$F$28*Projection_Agri_Srajesh!Q14</f>
        <v>0</v>
      </c>
      <c r="R15" s="42">
        <f>Input_Agri_srajesh!$F$28*Projection_Agri_Srajesh!R14</f>
        <v>3607050.7017535511</v>
      </c>
      <c r="S15" s="42">
        <f>Input_Agri_srajesh!$F$28*Projection_Agri_Srajesh!S14</f>
        <v>0</v>
      </c>
      <c r="T15" s="42">
        <f>Input_Agri_srajesh!$F$28*Projection_Agri_Srajesh!T14</f>
        <v>3976773.3986832905</v>
      </c>
      <c r="U15" s="42">
        <f>Input_Agri_srajesh!$F$28*Projection_Agri_Srajesh!U14</f>
        <v>0</v>
      </c>
      <c r="V15" s="42">
        <f>Input_Agri_srajesh!$F$28*Projection_Agri_Srajesh!V14</f>
        <v>4384392.6720483275</v>
      </c>
      <c r="W15" s="42">
        <f>Input_Agri_srajesh!$F$28*Projection_Agri_Srajesh!W14</f>
        <v>0</v>
      </c>
      <c r="X15" s="42">
        <f>Input_Agri_srajesh!$F$28*Projection_Agri_Srajesh!X14</f>
        <v>4833792.9209332811</v>
      </c>
      <c r="Y15" s="42">
        <f>Input_Agri_srajesh!$F$28*Projection_Agri_Srajesh!Y14</f>
        <v>0</v>
      </c>
      <c r="Z15" s="42">
        <f>Input_Agri_srajesh!$F$28*Projection_Agri_Srajesh!Z14</f>
        <v>5329256.6953289434</v>
      </c>
      <c r="AA15" s="42">
        <f>Input_Agri_srajesh!$F$28*Projection_Agri_Srajesh!AA14</f>
        <v>0</v>
      </c>
      <c r="AB15" s="42">
        <f>Input_Agri_srajesh!$F$28*Projection_Agri_Srajesh!AB14</f>
        <v>5875505.5066001611</v>
      </c>
      <c r="AC15" s="42">
        <f>Input_Agri_srajesh!$F$28*Projection_Agri_Srajesh!AC14</f>
        <v>3159875.5224520378</v>
      </c>
    </row>
    <row r="16" spans="2:29" ht="15.6" customHeight="1" x14ac:dyDescent="0.2">
      <c r="B16" s="1" t="s">
        <v>177</v>
      </c>
      <c r="C16" s="66">
        <f>SUM(D16:AC16)</f>
        <v>351361569.38052934</v>
      </c>
      <c r="D16" s="67">
        <f>SUM(D24:D40)</f>
        <v>724446.66666666663</v>
      </c>
      <c r="E16" s="67">
        <f>SUM(E24:E40)</f>
        <v>929926</v>
      </c>
      <c r="F16" s="67">
        <f>SUM(F24:F40)</f>
        <v>1523961.2666666668</v>
      </c>
      <c r="G16" s="67">
        <f>SUM(G24:G40)</f>
        <v>2318725.6300000008</v>
      </c>
      <c r="H16" s="67">
        <f>SUM(H24:H40)</f>
        <v>4269980.0331041673</v>
      </c>
      <c r="I16" s="67">
        <f>SUM(I24:I40)</f>
        <v>5725027.6234083343</v>
      </c>
      <c r="J16" s="67">
        <f>SUM(J24:J40)</f>
        <v>8527412.6122083366</v>
      </c>
      <c r="K16" s="67">
        <f>SUM(K24:K40)</f>
        <v>10917754.60751042</v>
      </c>
      <c r="L16" s="67">
        <f>SUM(L24:L40)</f>
        <v>14702210.636351647</v>
      </c>
      <c r="M16" s="67">
        <f>SUM(M24:M40)</f>
        <v>11339240.663779253</v>
      </c>
      <c r="N16" s="67">
        <f>SUM(N24:N40)</f>
        <v>12266885.403532205</v>
      </c>
      <c r="O16" s="67">
        <f>SUM(O24:O40)</f>
        <v>12499385.956816629</v>
      </c>
      <c r="P16" s="67">
        <f>SUM(P24:P40)</f>
        <v>14239322.051570145</v>
      </c>
      <c r="Q16" s="67">
        <f>SUM(Q24:Q40)</f>
        <v>13778446.142390335</v>
      </c>
      <c r="R16" s="67">
        <f>SUM(R24:R40)</f>
        <v>14840688.487089671</v>
      </c>
      <c r="S16" s="67">
        <f>SUM(S24:S40)</f>
        <v>15188609.996985346</v>
      </c>
      <c r="T16" s="67">
        <f>SUM(T24:T40)</f>
        <v>17238197.56050884</v>
      </c>
      <c r="U16" s="67">
        <f>SUM(U24:U40)</f>
        <v>16743315.646676347</v>
      </c>
      <c r="V16" s="67">
        <f>SUM(V24:V40)</f>
        <v>17969162.221423045</v>
      </c>
      <c r="W16" s="67">
        <f>SUM(W24:W40)</f>
        <v>18457378.625460673</v>
      </c>
      <c r="X16" s="67">
        <f>SUM(X24:X40)</f>
        <v>20883349.484595746</v>
      </c>
      <c r="Y16" s="67">
        <f>SUM(Y24:Y40)</f>
        <v>20347133.059570394</v>
      </c>
      <c r="Z16" s="67">
        <f>SUM(Z24:Z40)</f>
        <v>21771841.598466095</v>
      </c>
      <c r="AA16" s="67">
        <f>SUM(AA24:AA40)</f>
        <v>22430587.323176362</v>
      </c>
      <c r="AB16" s="67">
        <f>SUM(AB24:AB40)</f>
        <v>25314054.430522919</v>
      </c>
      <c r="AC16" s="67">
        <f>SUM(AC24:AC40)</f>
        <v>26414525.652049065</v>
      </c>
    </row>
    <row r="17" spans="1:29" ht="15.6" customHeight="1" thickBot="1" x14ac:dyDescent="0.25">
      <c r="B17" s="71" t="s">
        <v>178</v>
      </c>
      <c r="C17" s="72">
        <f>SUM(D17:AC17)</f>
        <v>28600989.982387923</v>
      </c>
      <c r="D17" s="73">
        <f>D13-D15-D16</f>
        <v>-133470.66666666663</v>
      </c>
      <c r="E17" s="73">
        <f t="shared" ref="E17:AC17" si="2">E13-E15-E16</f>
        <v>861.20000000006985</v>
      </c>
      <c r="F17" s="73">
        <f t="shared" si="2"/>
        <v>2039.8533333330415</v>
      </c>
      <c r="G17" s="73">
        <f t="shared" si="2"/>
        <v>3710.9059999994934</v>
      </c>
      <c r="H17" s="73">
        <f t="shared" si="2"/>
        <v>-1251241.761784167</v>
      </c>
      <c r="I17" s="73">
        <f t="shared" si="2"/>
        <v>11255.5951316664</v>
      </c>
      <c r="J17" s="73">
        <f t="shared" si="2"/>
        <v>-1598220.6689823344</v>
      </c>
      <c r="K17" s="73">
        <f t="shared" si="2"/>
        <v>23858.279064584523</v>
      </c>
      <c r="L17" s="73">
        <f t="shared" si="2"/>
        <v>-3388582.9116330929</v>
      </c>
      <c r="M17" s="73">
        <f t="shared" si="2"/>
        <v>3136513.1851594783</v>
      </c>
      <c r="N17" s="73">
        <f t="shared" si="2"/>
        <v>-34873.401178980246</v>
      </c>
      <c r="O17" s="73">
        <f t="shared" si="2"/>
        <v>3460132.6616383232</v>
      </c>
      <c r="P17" s="73">
        <f t="shared" si="2"/>
        <v>-753528.81897571124</v>
      </c>
      <c r="Q17" s="73">
        <f t="shared" si="2"/>
        <v>3816923.1344562527</v>
      </c>
      <c r="R17" s="73">
        <f t="shared" si="2"/>
        <v>27398.551845697686</v>
      </c>
      <c r="S17" s="73">
        <f t="shared" si="2"/>
        <v>4210284.6307380199</v>
      </c>
      <c r="T17" s="73">
        <f t="shared" si="2"/>
        <v>-846131.6000825949</v>
      </c>
      <c r="U17" s="73">
        <f t="shared" si="2"/>
        <v>4643965.6803886667</v>
      </c>
      <c r="V17" s="73">
        <f t="shared" si="2"/>
        <v>103090.49994688854</v>
      </c>
      <c r="W17" s="73">
        <f t="shared" si="2"/>
        <v>5122099.0376285017</v>
      </c>
      <c r="X17" s="73">
        <f t="shared" si="2"/>
        <v>-958690.85928539187</v>
      </c>
      <c r="Y17" s="73">
        <f t="shared" si="2"/>
        <v>5649241.0639854297</v>
      </c>
      <c r="Z17" s="73">
        <f t="shared" si="2"/>
        <v>195094.53593857586</v>
      </c>
      <c r="AA17" s="73">
        <f t="shared" si="2"/>
        <v>6230415.1480439343</v>
      </c>
      <c r="AB17" s="73">
        <f t="shared" si="2"/>
        <v>-1095507.3423417658</v>
      </c>
      <c r="AC17" s="73">
        <f t="shared" si="2"/>
        <v>2024354.0500192754</v>
      </c>
    </row>
    <row r="18" spans="1:29" ht="15.6" customHeight="1" x14ac:dyDescent="0.2">
      <c r="B18" s="67" t="s">
        <v>179</v>
      </c>
      <c r="C18" s="42">
        <f>SUM(D18:AC18)</f>
        <v>14300494.991193961</v>
      </c>
      <c r="D18" s="42">
        <f>50%*D17</f>
        <v>-66735.333333333314</v>
      </c>
      <c r="E18" s="42">
        <f t="shared" ref="E18:AC18" si="3">50%*E17</f>
        <v>430.60000000003492</v>
      </c>
      <c r="F18" s="42">
        <f t="shared" si="3"/>
        <v>1019.9266666665208</v>
      </c>
      <c r="G18" s="42">
        <f t="shared" si="3"/>
        <v>1855.4529999997467</v>
      </c>
      <c r="H18" s="42">
        <f t="shared" si="3"/>
        <v>-625620.88089208351</v>
      </c>
      <c r="I18" s="42">
        <f t="shared" si="3"/>
        <v>5627.7975658331998</v>
      </c>
      <c r="J18" s="42">
        <f t="shared" si="3"/>
        <v>-799110.33449116722</v>
      </c>
      <c r="K18" s="42">
        <f t="shared" si="3"/>
        <v>11929.139532292262</v>
      </c>
      <c r="L18" s="42">
        <f t="shared" si="3"/>
        <v>-1694291.4558165465</v>
      </c>
      <c r="M18" s="42">
        <f t="shared" si="3"/>
        <v>1568256.5925797392</v>
      </c>
      <c r="N18" s="42">
        <f t="shared" si="3"/>
        <v>-17436.700589490123</v>
      </c>
      <c r="O18" s="42">
        <f t="shared" si="3"/>
        <v>1730066.3308191616</v>
      </c>
      <c r="P18" s="42">
        <f t="shared" si="3"/>
        <v>-376764.40948785562</v>
      </c>
      <c r="Q18" s="42">
        <f t="shared" si="3"/>
        <v>1908461.5672281263</v>
      </c>
      <c r="R18" s="42">
        <f t="shared" si="3"/>
        <v>13699.275922848843</v>
      </c>
      <c r="S18" s="42">
        <f t="shared" si="3"/>
        <v>2105142.31536901</v>
      </c>
      <c r="T18" s="42">
        <f t="shared" si="3"/>
        <v>-423065.80004129745</v>
      </c>
      <c r="U18" s="42">
        <f t="shared" si="3"/>
        <v>2321982.8401943333</v>
      </c>
      <c r="V18" s="42">
        <f t="shared" si="3"/>
        <v>51545.249973444268</v>
      </c>
      <c r="W18" s="42">
        <f t="shared" si="3"/>
        <v>2561049.5188142508</v>
      </c>
      <c r="X18" s="42">
        <f t="shared" si="3"/>
        <v>-479345.42964269593</v>
      </c>
      <c r="Y18" s="42">
        <f t="shared" si="3"/>
        <v>2824620.5319927149</v>
      </c>
      <c r="Z18" s="42">
        <f t="shared" si="3"/>
        <v>97547.267969287932</v>
      </c>
      <c r="AA18" s="42">
        <f t="shared" si="3"/>
        <v>3115207.5740219671</v>
      </c>
      <c r="AB18" s="42">
        <f t="shared" si="3"/>
        <v>-547753.67117088288</v>
      </c>
      <c r="AC18" s="42">
        <f t="shared" si="3"/>
        <v>1012177.0250096377</v>
      </c>
    </row>
    <row r="19" spans="1:29" ht="15.6" customHeight="1" x14ac:dyDescent="0.2">
      <c r="B19" s="67" t="s">
        <v>180</v>
      </c>
      <c r="C19" s="42">
        <f>AVERAGE(D19:AC19)</f>
        <v>1.50880949454068</v>
      </c>
      <c r="D19" s="42">
        <f>D18/D4</f>
        <v>-3.5123859649122795</v>
      </c>
      <c r="E19" s="42">
        <f t="shared" ref="E19:AC19" si="4">E18/E4</f>
        <v>1.5108771929825788E-2</v>
      </c>
      <c r="F19" s="42">
        <f t="shared" si="4"/>
        <v>2.2919700374528555E-2</v>
      </c>
      <c r="G19" s="42">
        <f t="shared" si="4"/>
        <v>2.8766713178290645E-2</v>
      </c>
      <c r="H19" s="42">
        <f t="shared" si="4"/>
        <v>-5.9868026879625216</v>
      </c>
      <c r="I19" s="42">
        <f t="shared" si="4"/>
        <v>3.8946695957323182E-2</v>
      </c>
      <c r="J19" s="42">
        <f t="shared" si="4"/>
        <v>-3.9955516724558362</v>
      </c>
      <c r="K19" s="42">
        <f t="shared" si="4"/>
        <v>4.771655812916905E-2</v>
      </c>
      <c r="L19" s="42">
        <f t="shared" si="4"/>
        <v>-5.647638186055155</v>
      </c>
      <c r="M19" s="42">
        <f t="shared" si="4"/>
        <v>5.2275219752657973</v>
      </c>
      <c r="N19" s="42">
        <f t="shared" si="4"/>
        <v>-5.8122335298300409E-2</v>
      </c>
      <c r="O19" s="42">
        <f t="shared" si="4"/>
        <v>5.7668877693972052</v>
      </c>
      <c r="P19" s="42">
        <f t="shared" si="4"/>
        <v>-1.2558813649595186</v>
      </c>
      <c r="Q19" s="42">
        <f t="shared" si="4"/>
        <v>6.361538557427088</v>
      </c>
      <c r="R19" s="42">
        <f t="shared" si="4"/>
        <v>4.5664253076162807E-2</v>
      </c>
      <c r="S19" s="42">
        <f t="shared" si="4"/>
        <v>7.0171410512300332</v>
      </c>
      <c r="T19" s="42">
        <f t="shared" si="4"/>
        <v>-1.4102193334709916</v>
      </c>
      <c r="U19" s="42">
        <f t="shared" si="4"/>
        <v>7.7399428006477775</v>
      </c>
      <c r="V19" s="42">
        <f t="shared" si="4"/>
        <v>0.1718174999114809</v>
      </c>
      <c r="W19" s="42">
        <f t="shared" si="4"/>
        <v>8.536831729380836</v>
      </c>
      <c r="X19" s="42">
        <f t="shared" si="4"/>
        <v>-1.5978180988089865</v>
      </c>
      <c r="Y19" s="42">
        <f t="shared" si="4"/>
        <v>9.4154017733090498</v>
      </c>
      <c r="Z19" s="42">
        <f t="shared" si="4"/>
        <v>0.32515755989762646</v>
      </c>
      <c r="AA19" s="42">
        <f t="shared" si="4"/>
        <v>10.38402524673989</v>
      </c>
      <c r="AB19" s="42">
        <f t="shared" si="4"/>
        <v>-1.8258455705696095</v>
      </c>
      <c r="AC19" s="42">
        <f t="shared" si="4"/>
        <v>3.3739234166987924</v>
      </c>
    </row>
    <row r="20" spans="1:29" s="40" customFormat="1" x14ac:dyDescent="0.2">
      <c r="A20"/>
      <c r="B20" s="69" t="s">
        <v>181</v>
      </c>
      <c r="C20" s="70">
        <f>IRR(D17:AC17,10)</f>
        <v>0.20770723941252922</v>
      </c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</row>
    <row r="21" spans="1:29" s="40" customFormat="1" x14ac:dyDescent="0.2">
      <c r="A21"/>
      <c r="C21" s="63"/>
    </row>
    <row r="22" spans="1:29" s="40" customFormat="1" x14ac:dyDescent="0.2">
      <c r="A22"/>
      <c r="B22" s="74" t="s">
        <v>182</v>
      </c>
      <c r="C22" s="63"/>
    </row>
    <row r="23" spans="1:29" s="40" customFormat="1" ht="6" customHeight="1" x14ac:dyDescent="0.2">
      <c r="A23"/>
      <c r="C23" s="63"/>
    </row>
    <row r="24" spans="1:29" s="62" customFormat="1" x14ac:dyDescent="0.2">
      <c r="A24" t="s">
        <v>183</v>
      </c>
      <c r="B24" s="61" t="s">
        <v>66</v>
      </c>
      <c r="C24" s="42">
        <f t="shared" ref="C24:C40" si="5">SUM(D24:AC24)</f>
        <v>11111.111111111111</v>
      </c>
      <c r="D24" s="62">
        <f>Input_Agri_srajesh!G10</f>
        <v>11111.111111111111</v>
      </c>
    </row>
    <row r="25" spans="1:29" s="62" customFormat="1" x14ac:dyDescent="0.2">
      <c r="A25"/>
      <c r="B25" s="61" t="s">
        <v>71</v>
      </c>
      <c r="C25" s="42">
        <f t="shared" si="5"/>
        <v>33333.333333333336</v>
      </c>
      <c r="D25" s="62">
        <f>Input_Agri_srajesh!G11</f>
        <v>33333.333333333336</v>
      </c>
    </row>
    <row r="26" spans="1:29" s="62" customFormat="1" x14ac:dyDescent="0.2">
      <c r="A26"/>
      <c r="B26" s="61" t="s">
        <v>74</v>
      </c>
      <c r="C26" s="42">
        <f t="shared" si="5"/>
        <v>10314180.122213546</v>
      </c>
      <c r="D26" s="62">
        <f>Input_Agri_srajesh!$G$12*Projection_Agri_Srajesh!D4*D10</f>
        <v>126666.66666666667</v>
      </c>
      <c r="E26" s="62">
        <f>Input_Agri_srajesh!$G$12*Projection_Agri_Srajesh!E4*E10</f>
        <v>199500</v>
      </c>
      <c r="F26" s="62">
        <f>Input_Agri_srajesh!$G$12*Projection_Agri_Srajesh!F4*F10</f>
        <v>327075.00000000006</v>
      </c>
      <c r="G26" s="62">
        <f>Input_Agri_srajesh!$G$12*Projection_Agri_Srajesh!G4*G10</f>
        <v>497778.75000000006</v>
      </c>
      <c r="H26" s="62">
        <f>Input_Agri_srajesh!$G$12*Projection_Agri_Srajesh!H4*H10</f>
        <v>846802.68750000023</v>
      </c>
      <c r="I26" s="62">
        <f>Input_Agri_srajesh!$G$12*Projection_Agri_Srajesh!I4*I10</f>
        <v>1229484.5718750004</v>
      </c>
      <c r="J26" s="62">
        <f>Input_Agri_srajesh!$G$12*Projection_Agri_Srajesh!J4*J10</f>
        <v>1786794.1875000007</v>
      </c>
      <c r="K26" s="62">
        <f>Input_Agri_srajesh!$G$12*Projection_Agri_Srajesh!K4*K10</f>
        <v>2345167.3710937509</v>
      </c>
      <c r="L26" s="62">
        <f>Input_Agri_srajesh!$G$12*Projection_Agri_Srajesh!L4*L10</f>
        <v>2954910.887578126</v>
      </c>
    </row>
    <row r="27" spans="1:29" s="62" customFormat="1" x14ac:dyDescent="0.2">
      <c r="A27" t="s">
        <v>184</v>
      </c>
      <c r="B27" s="61" t="s">
        <v>78</v>
      </c>
      <c r="C27" s="42">
        <f t="shared" si="5"/>
        <v>289561468.80271089</v>
      </c>
      <c r="D27" s="62">
        <f>Input_Agri_srajesh!$G$13*Projection_Agri_Srajesh!D5*D10</f>
        <v>405333.33333333337</v>
      </c>
      <c r="E27" s="62">
        <f>Input_Agri_srajesh!$G$13*Projection_Agri_Srajesh!E5*E10</f>
        <v>638400</v>
      </c>
      <c r="F27" s="62">
        <f>Input_Agri_srajesh!$G$13*Projection_Agri_Srajesh!F5*F10</f>
        <v>1046640.0000000001</v>
      </c>
      <c r="G27" s="62">
        <f>Input_Agri_srajesh!$G$13*Projection_Agri_Srajesh!G5*G10</f>
        <v>1592892.0000000002</v>
      </c>
      <c r="H27" s="62">
        <f>Input_Agri_srajesh!$G$13*Projection_Agri_Srajesh!H5*H10</f>
        <v>2709768.6000000006</v>
      </c>
      <c r="I27" s="62">
        <f>Input_Agri_srajesh!$G$13*Projection_Agri_Srajesh!I5*I10</f>
        <v>3934350.6300000013</v>
      </c>
      <c r="J27" s="62">
        <f>Input_Agri_srajesh!$G$13*Projection_Agri_Srajesh!J5*J10</f>
        <v>5717741.4000000022</v>
      </c>
      <c r="K27" s="62">
        <f>Input_Agri_srajesh!$G$13*Projection_Agri_Srajesh!K5*K10</f>
        <v>7504535.5875000032</v>
      </c>
      <c r="L27" s="62">
        <f>Input_Agri_srajesh!$G$13*Projection_Agri_Srajesh!L5*L10</f>
        <v>9455714.8402500041</v>
      </c>
      <c r="M27" s="62">
        <f>Input_Agri_srajesh!$G$13*Projection_Agri_Srajesh!M5*M10</f>
        <v>9928500.582262503</v>
      </c>
      <c r="N27" s="62">
        <f>Input_Agri_srajesh!$G$13*Projection_Agri_Srajesh!N5*N10</f>
        <v>10424925.611375628</v>
      </c>
      <c r="O27" s="62">
        <f>Input_Agri_srajesh!$G$13*Projection_Agri_Srajesh!O5*O10</f>
        <v>10946171.89194441</v>
      </c>
      <c r="P27" s="62">
        <f>Input_Agri_srajesh!$G$13*Projection_Agri_Srajesh!P5*P10</f>
        <v>11493480.486541633</v>
      </c>
      <c r="Q27" s="62">
        <f>Input_Agri_srajesh!$G$13*Projection_Agri_Srajesh!Q5*Q10</f>
        <v>12068154.510868715</v>
      </c>
      <c r="R27" s="62">
        <f>Input_Agri_srajesh!$G$13*Projection_Agri_Srajesh!R5*R10</f>
        <v>12671562.236412151</v>
      </c>
      <c r="S27" s="62">
        <f>Input_Agri_srajesh!$G$13*Projection_Agri_Srajesh!S5*S10</f>
        <v>13305140.348232759</v>
      </c>
      <c r="T27" s="62">
        <f>Input_Agri_srajesh!$G$13*Projection_Agri_Srajesh!T5*T10</f>
        <v>13970397.365644399</v>
      </c>
      <c r="U27" s="62">
        <f>Input_Agri_srajesh!$G$13*Projection_Agri_Srajesh!U5*U10</f>
        <v>14668917.23392662</v>
      </c>
      <c r="V27" s="62">
        <f>Input_Agri_srajesh!$G$13*Projection_Agri_Srajesh!V5*V10</f>
        <v>15402363.095622951</v>
      </c>
      <c r="W27" s="62">
        <f>Input_Agri_srajesh!$G$13*Projection_Agri_Srajesh!W5*W10</f>
        <v>16172481.250404099</v>
      </c>
      <c r="X27" s="62">
        <f>Input_Agri_srajesh!$G$13*Projection_Agri_Srajesh!X5*X10</f>
        <v>16981105.312924303</v>
      </c>
      <c r="Y27" s="62">
        <f>Input_Agri_srajesh!$G$13*Projection_Agri_Srajesh!Y5*Y10</f>
        <v>17830160.578570522</v>
      </c>
      <c r="Z27" s="62">
        <f>Input_Agri_srajesh!$G$13*Projection_Agri_Srajesh!Z5*Z10</f>
        <v>18721668.607499048</v>
      </c>
      <c r="AA27" s="62">
        <f>Input_Agri_srajesh!$G$13*Projection_Agri_Srajesh!AA5*AA10</f>
        <v>19657752.037874002</v>
      </c>
      <c r="AB27" s="62">
        <f>Input_Agri_srajesh!$G$13*Projection_Agri_Srajesh!AB5*AB10</f>
        <v>20640639.639767703</v>
      </c>
      <c r="AC27" s="62">
        <f>Input_Agri_srajesh!$G$13*Projection_Agri_Srajesh!AC5*AC10</f>
        <v>21672671.621756088</v>
      </c>
    </row>
    <row r="28" spans="1:29" s="62" customFormat="1" ht="15.6" customHeight="1" x14ac:dyDescent="0.2">
      <c r="A28"/>
      <c r="B28" s="61" t="s">
        <v>83</v>
      </c>
      <c r="C28" s="42">
        <f t="shared" si="5"/>
        <v>6336530.677097491</v>
      </c>
      <c r="D28" s="62">
        <f>Input_Agri_srajesh!$G$14*Input_Agri_srajesh!$J$14*Projection_Agri_Srajesh!D4*Projection_Agri_Srajesh!D10</f>
        <v>26388.888888888887</v>
      </c>
      <c r="E28" s="62" t="str">
        <f>IF(E8="R",Input_Agri_srajesh!$G$14*Input_Agri_srajesh!$J$14*Projection_Agri_Srajesh!E4*Projection_Agri_Srajesh!E10,"")</f>
        <v/>
      </c>
      <c r="F28" s="62" t="str">
        <f>IF(F8="R",Input_Agri_srajesh!$G$14*Input_Agri_srajesh!$J$14*Projection_Agri_Srajesh!F4*Projection_Agri_Srajesh!F10,"")</f>
        <v/>
      </c>
      <c r="G28" s="62" t="str">
        <f>IF(G8="R",Input_Agri_srajesh!$G$14*Input_Agri_srajesh!$J$14*Projection_Agri_Srajesh!G4*Projection_Agri_Srajesh!G10,"")</f>
        <v/>
      </c>
      <c r="H28" s="62">
        <f>IF(H8="R",Input_Agri_srajesh!$G$14*Input_Agri_srajesh!$J$14*Projection_Agri_Srajesh!H4*Projection_Agri_Srajesh!H10,"")</f>
        <v>176417.22656250003</v>
      </c>
      <c r="I28" s="62" t="str">
        <f>IF(I8="R",Input_Agri_srajesh!$G$14*Input_Agri_srajesh!$J$14*Projection_Agri_Srajesh!I4*Projection_Agri_Srajesh!I10,"")</f>
        <v/>
      </c>
      <c r="J28" s="62" t="str">
        <f>IF(J8="R",Input_Agri_srajesh!$G$14*Input_Agri_srajesh!$J$14*Projection_Agri_Srajesh!J4*Projection_Agri_Srajesh!J10,"")</f>
        <v/>
      </c>
      <c r="K28" s="62" t="str">
        <f>IF(K8="R",Input_Agri_srajesh!$G$14*Input_Agri_srajesh!$J$14*Projection_Agri_Srajesh!K4*Projection_Agri_Srajesh!K10,"")</f>
        <v/>
      </c>
      <c r="L28" s="62">
        <f>IF(L8="R",Input_Agri_srajesh!$G$14*Input_Agri_srajesh!$J$14*Projection_Agri_Srajesh!L4*Projection_Agri_Srajesh!L10,"")</f>
        <v>615606.43491210951</v>
      </c>
      <c r="M28" s="62" t="str">
        <f>IF(M8="R",Input_Agri_srajesh!$G$14*Input_Agri_srajesh!$J$14*Projection_Agri_Srajesh!M4*Projection_Agri_Srajesh!M10,"")</f>
        <v/>
      </c>
      <c r="N28" s="62" t="str">
        <f>IF(N8="R",Input_Agri_srajesh!$G$14*Input_Agri_srajesh!$J$14*Projection_Agri_Srajesh!N4*Projection_Agri_Srajesh!N10,"")</f>
        <v/>
      </c>
      <c r="O28" s="62" t="str">
        <f>IF(O8="R",Input_Agri_srajesh!$G$14*Input_Agri_srajesh!$J$14*Projection_Agri_Srajesh!O4*Projection_Agri_Srajesh!O10,"")</f>
        <v/>
      </c>
      <c r="P28" s="62">
        <f>IF(P8="R",Input_Agri_srajesh!$G$14*Input_Agri_srajesh!$J$14*Projection_Agri_Srajesh!P4*Projection_Agri_Srajesh!P10,"")</f>
        <v>748273.46917588741</v>
      </c>
      <c r="Q28" s="62" t="str">
        <f>IF(Q8="R",Input_Agri_srajesh!$G$14*Input_Agri_srajesh!$J$14*Projection_Agri_Srajesh!Q4*Projection_Agri_Srajesh!Q10,"")</f>
        <v/>
      </c>
      <c r="R28" s="62" t="str">
        <f>IF(R8="R",Input_Agri_srajesh!$G$14*Input_Agri_srajesh!$J$14*Projection_Agri_Srajesh!R4*Projection_Agri_Srajesh!R10,"")</f>
        <v/>
      </c>
      <c r="S28" s="62" t="str">
        <f>IF(S8="R",Input_Agri_srajesh!$G$14*Input_Agri_srajesh!$J$14*Projection_Agri_Srajesh!S4*Projection_Agri_Srajesh!S10,"")</f>
        <v/>
      </c>
      <c r="T28" s="62">
        <f>IF(T8="R",Input_Agri_srajesh!$G$14*Input_Agri_srajesh!$J$14*Projection_Agri_Srajesh!T4*Projection_Agri_Srajesh!T10,"")</f>
        <v>909531.07849247381</v>
      </c>
      <c r="U28" s="62" t="str">
        <f>IF(U8="R",Input_Agri_srajesh!$G$14*Input_Agri_srajesh!$J$14*Projection_Agri_Srajesh!U4*Projection_Agri_Srajesh!U10,"")</f>
        <v/>
      </c>
      <c r="V28" s="62" t="str">
        <f>IF(V8="R",Input_Agri_srajesh!$G$14*Input_Agri_srajesh!$J$14*Projection_Agri_Srajesh!V4*Projection_Agri_Srajesh!V10,"")</f>
        <v/>
      </c>
      <c r="W28" s="62" t="str">
        <f>IF(W8="R",Input_Agri_srajesh!$G$14*Input_Agri_srajesh!$J$14*Projection_Agri_Srajesh!W4*Projection_Agri_Srajesh!W10,"")</f>
        <v/>
      </c>
      <c r="X28" s="62">
        <f>IF(X8="R",Input_Agri_srajesh!$G$14*Input_Agri_srajesh!$J$14*Projection_Agri_Srajesh!X4*Projection_Agri_Srajesh!X10,"")</f>
        <v>1105540.7104768427</v>
      </c>
      <c r="Y28" s="62" t="str">
        <f>IF(Y8="R",Input_Agri_srajesh!$G$14*Input_Agri_srajesh!$J$14*Projection_Agri_Srajesh!Y4*Projection_Agri_Srajesh!Y10,"")</f>
        <v/>
      </c>
      <c r="Z28" s="62" t="str">
        <f>IF(Z8="R",Input_Agri_srajesh!$G$14*Input_Agri_srajesh!$J$14*Projection_Agri_Srajesh!Z4*Projection_Agri_Srajesh!Z10,"")</f>
        <v/>
      </c>
      <c r="AA28" s="62" t="str">
        <f>IF(AA8="R",Input_Agri_srajesh!$G$14*Input_Agri_srajesh!$J$14*Projection_Agri_Srajesh!AA4*Projection_Agri_Srajesh!AA10,"")</f>
        <v/>
      </c>
      <c r="AB28" s="62">
        <f>IF(AB8="R",Input_Agri_srajesh!$G$14*Input_Agri_srajesh!$J$14*Projection_Agri_Srajesh!AB4*Projection_Agri_Srajesh!AB10,"")</f>
        <v>1343791.6432140432</v>
      </c>
      <c r="AC28" s="62">
        <f>IF(AC8="R",Input_Agri_srajesh!$G$14*Input_Agri_srajesh!$J$14*Projection_Agri_Srajesh!AC4*Projection_Agri_Srajesh!AC10,"")</f>
        <v>1410981.2253747452</v>
      </c>
    </row>
    <row r="29" spans="1:29" s="62" customFormat="1" x14ac:dyDescent="0.2">
      <c r="A29"/>
      <c r="B29" s="61" t="s">
        <v>88</v>
      </c>
      <c r="C29" s="42">
        <f t="shared" si="5"/>
        <v>9048795.9000847153</v>
      </c>
      <c r="D29" s="62">
        <f>Input_Agri_srajesh!$G15*Projection_Agri_Srajesh!D$5*Projection_Agri_Srajesh!D$10</f>
        <v>12666.666666666668</v>
      </c>
      <c r="E29" s="62">
        <f>Input_Agri_srajesh!$G$15*Projection_Agri_Srajesh!E5*Projection_Agri_Srajesh!E10</f>
        <v>19950</v>
      </c>
      <c r="F29" s="62">
        <f>Input_Agri_srajesh!$G$15*Projection_Agri_Srajesh!F5*Projection_Agri_Srajesh!F10</f>
        <v>32707.500000000004</v>
      </c>
      <c r="G29" s="62">
        <f>Input_Agri_srajesh!$G$15*Projection_Agri_Srajesh!G5*Projection_Agri_Srajesh!G10</f>
        <v>49777.875000000007</v>
      </c>
      <c r="H29" s="62">
        <f>Input_Agri_srajesh!$G$15*Projection_Agri_Srajesh!H5*Projection_Agri_Srajesh!H10</f>
        <v>84680.268750000017</v>
      </c>
      <c r="I29" s="62">
        <f>Input_Agri_srajesh!$G$15*Projection_Agri_Srajesh!I5*Projection_Agri_Srajesh!I10</f>
        <v>122948.45718750004</v>
      </c>
      <c r="J29" s="62">
        <f>Input_Agri_srajesh!$G$15*Projection_Agri_Srajesh!J5*Projection_Agri_Srajesh!J10</f>
        <v>178679.41875000007</v>
      </c>
      <c r="K29" s="62">
        <f>Input_Agri_srajesh!$G$15*Projection_Agri_Srajesh!K5*Projection_Agri_Srajesh!K10</f>
        <v>234516.7371093751</v>
      </c>
      <c r="L29" s="62">
        <f>Input_Agri_srajesh!$G$15*Projection_Agri_Srajesh!L5*Projection_Agri_Srajesh!L10</f>
        <v>295491.08875781263</v>
      </c>
      <c r="M29" s="62">
        <f>Input_Agri_srajesh!$G$15*Projection_Agri_Srajesh!M5*Projection_Agri_Srajesh!M10</f>
        <v>310265.64319570322</v>
      </c>
      <c r="N29" s="62">
        <f>Input_Agri_srajesh!$G$15*Projection_Agri_Srajesh!N5*Projection_Agri_Srajesh!N10</f>
        <v>325778.92535548838</v>
      </c>
      <c r="O29" s="62">
        <f>Input_Agri_srajesh!$G$15*Projection_Agri_Srajesh!O5*Projection_Agri_Srajesh!O10</f>
        <v>342067.87162326282</v>
      </c>
      <c r="P29" s="62">
        <f>Input_Agri_srajesh!$G$15*Projection_Agri_Srajesh!P5*Projection_Agri_Srajesh!P10</f>
        <v>359171.26520442602</v>
      </c>
      <c r="Q29" s="62">
        <f>Input_Agri_srajesh!$G$15*Projection_Agri_Srajesh!Q5*Projection_Agri_Srajesh!Q10</f>
        <v>377129.82846464735</v>
      </c>
      <c r="R29" s="62">
        <f>Input_Agri_srajesh!$G$15*Projection_Agri_Srajesh!R5*Projection_Agri_Srajesh!R10</f>
        <v>395986.31988787971</v>
      </c>
      <c r="S29" s="62">
        <f>Input_Agri_srajesh!$G$15*Projection_Agri_Srajesh!S5*Projection_Agri_Srajesh!S10</f>
        <v>415785.63588227372</v>
      </c>
      <c r="T29" s="62">
        <f>Input_Agri_srajesh!$G$15*Projection_Agri_Srajesh!T5*Projection_Agri_Srajesh!T10</f>
        <v>436574.91767638747</v>
      </c>
      <c r="U29" s="62">
        <f>Input_Agri_srajesh!$G$15*Projection_Agri_Srajesh!U5*Projection_Agri_Srajesh!U10</f>
        <v>458403.66356020689</v>
      </c>
      <c r="V29" s="62">
        <f>Input_Agri_srajesh!$G$15*Projection_Agri_Srajesh!V5*Projection_Agri_Srajesh!V10</f>
        <v>481323.84673821722</v>
      </c>
      <c r="W29" s="62">
        <f>Input_Agri_srajesh!$G$15*Projection_Agri_Srajesh!W5*Projection_Agri_Srajesh!W10</f>
        <v>505390.03907512809</v>
      </c>
      <c r="X29" s="62">
        <f>Input_Agri_srajesh!$G$15*Projection_Agri_Srajesh!X5*Projection_Agri_Srajesh!X10</f>
        <v>530659.54102888447</v>
      </c>
      <c r="Y29" s="62">
        <f>Input_Agri_srajesh!$G$15*Projection_Agri_Srajesh!Y5*Projection_Agri_Srajesh!Y10</f>
        <v>557192.51808032882</v>
      </c>
      <c r="Z29" s="62">
        <f>Input_Agri_srajesh!$G$15*Projection_Agri_Srajesh!Z5*Projection_Agri_Srajesh!Z10</f>
        <v>585052.14398434525</v>
      </c>
      <c r="AA29" s="62">
        <f>Input_Agri_srajesh!$G$15*Projection_Agri_Srajesh!AA5*Projection_Agri_Srajesh!AA10</f>
        <v>614304.75118356256</v>
      </c>
      <c r="AB29" s="62">
        <f>Input_Agri_srajesh!$G$15*Projection_Agri_Srajesh!AB5*Projection_Agri_Srajesh!AB10</f>
        <v>645019.98874274071</v>
      </c>
      <c r="AC29" s="62">
        <f>Input_Agri_srajesh!$G$15*Projection_Agri_Srajesh!AC5*Projection_Agri_Srajesh!AC10</f>
        <v>677270.98817987775</v>
      </c>
    </row>
    <row r="30" spans="1:29" s="62" customFormat="1" x14ac:dyDescent="0.2">
      <c r="A30"/>
      <c r="B30" s="61" t="s">
        <v>91</v>
      </c>
      <c r="C30" s="42">
        <f t="shared" si="5"/>
        <v>1085855.5080101658</v>
      </c>
      <c r="D30" s="62">
        <f>Input_Agri_srajesh!$G16*Projection_Agri_Srajesh!D$5*Projection_Agri_Srajesh!D$10</f>
        <v>1520</v>
      </c>
      <c r="E30" s="62">
        <f>Input_Agri_srajesh!$G16*Projection_Agri_Srajesh!E$5*Projection_Agri_Srajesh!E$10</f>
        <v>2394</v>
      </c>
      <c r="F30" s="62">
        <f>Input_Agri_srajesh!$G16*Projection_Agri_Srajesh!F$5*Projection_Agri_Srajesh!F$10</f>
        <v>3924.9</v>
      </c>
      <c r="G30" s="62">
        <f>Input_Agri_srajesh!$G16*Projection_Agri_Srajesh!G$5*Projection_Agri_Srajesh!G$10</f>
        <v>5973.3450000000003</v>
      </c>
      <c r="H30" s="62">
        <f>Input_Agri_srajesh!$G16*Projection_Agri_Srajesh!H$5*Projection_Agri_Srajesh!H$10</f>
        <v>10161.632250000002</v>
      </c>
      <c r="I30" s="62">
        <f>Input_Agri_srajesh!$G16*Projection_Agri_Srajesh!I$5*Projection_Agri_Srajesh!I$10</f>
        <v>14753.814862500005</v>
      </c>
      <c r="J30" s="62">
        <f>Input_Agri_srajesh!$G16*Projection_Agri_Srajesh!J$5*Projection_Agri_Srajesh!J$10</f>
        <v>21441.530250000007</v>
      </c>
      <c r="K30" s="62">
        <f>Input_Agri_srajesh!$G16*Projection_Agri_Srajesh!K$5*Projection_Agri_Srajesh!K$10</f>
        <v>28142.00845312501</v>
      </c>
      <c r="L30" s="62">
        <f>Input_Agri_srajesh!$G16*Projection_Agri_Srajesh!L$5*Projection_Agri_Srajesh!L$10</f>
        <v>35458.930650937509</v>
      </c>
      <c r="M30" s="62">
        <f>Input_Agri_srajesh!$G16*Projection_Agri_Srajesh!M$5*Projection_Agri_Srajesh!M$10</f>
        <v>37231.877183484386</v>
      </c>
      <c r="N30" s="62">
        <f>Input_Agri_srajesh!$G16*Projection_Agri_Srajesh!N$5*Projection_Agri_Srajesh!N$10</f>
        <v>39093.47104265861</v>
      </c>
      <c r="O30" s="62">
        <f>Input_Agri_srajesh!$G16*Projection_Agri_Srajesh!O$5*Projection_Agri_Srajesh!O$10</f>
        <v>41048.144594791542</v>
      </c>
      <c r="P30" s="62">
        <f>Input_Agri_srajesh!$G16*Projection_Agri_Srajesh!P$5*Projection_Agri_Srajesh!P$10</f>
        <v>43100.551824531125</v>
      </c>
      <c r="Q30" s="62">
        <f>Input_Agri_srajesh!$G16*Projection_Agri_Srajesh!Q$5*Projection_Agri_Srajesh!Q$10</f>
        <v>45255.579415757682</v>
      </c>
      <c r="R30" s="62">
        <f>Input_Agri_srajesh!$G16*Projection_Agri_Srajesh!R$5*Projection_Agri_Srajesh!R$10</f>
        <v>47518.358386545566</v>
      </c>
      <c r="S30" s="62">
        <f>Input_Agri_srajesh!$G16*Projection_Agri_Srajesh!S$5*Projection_Agri_Srajesh!S$10</f>
        <v>49894.276305872852</v>
      </c>
      <c r="T30" s="62">
        <f>Input_Agri_srajesh!$G16*Projection_Agri_Srajesh!T$5*Projection_Agri_Srajesh!T$10</f>
        <v>52388.990121166498</v>
      </c>
      <c r="U30" s="62">
        <f>Input_Agri_srajesh!$G16*Projection_Agri_Srajesh!U$5*Projection_Agri_Srajesh!U$10</f>
        <v>55008.439627224827</v>
      </c>
      <c r="V30" s="62">
        <f>Input_Agri_srajesh!$G16*Projection_Agri_Srajesh!V$5*Projection_Agri_Srajesh!V$10</f>
        <v>57758.861608586063</v>
      </c>
      <c r="W30" s="62">
        <f>Input_Agri_srajesh!$G16*Projection_Agri_Srajesh!W$5*Projection_Agri_Srajesh!W$10</f>
        <v>60646.804689015371</v>
      </c>
      <c r="X30" s="62">
        <f>Input_Agri_srajesh!$G16*Projection_Agri_Srajesh!X$5*Projection_Agri_Srajesh!X$10</f>
        <v>63679.144923466141</v>
      </c>
      <c r="Y30" s="62">
        <f>Input_Agri_srajesh!$G16*Projection_Agri_Srajesh!Y$5*Projection_Agri_Srajesh!Y$10</f>
        <v>66863.10216963946</v>
      </c>
      <c r="Z30" s="62">
        <f>Input_Agri_srajesh!$G16*Projection_Agri_Srajesh!Z$5*Projection_Agri_Srajesh!Z$10</f>
        <v>70206.25727812144</v>
      </c>
      <c r="AA30" s="62">
        <f>Input_Agri_srajesh!$G16*Projection_Agri_Srajesh!AA$5*Projection_Agri_Srajesh!AA$10</f>
        <v>73716.5701420275</v>
      </c>
      <c r="AB30" s="62">
        <f>Input_Agri_srajesh!$G16*Projection_Agri_Srajesh!AB$5*Projection_Agri_Srajesh!AB$10</f>
        <v>77402.398649128896</v>
      </c>
      <c r="AC30" s="62">
        <f>Input_Agri_srajesh!$G16*Projection_Agri_Srajesh!AC$5*Projection_Agri_Srajesh!AC$10</f>
        <v>81272.518581585333</v>
      </c>
    </row>
    <row r="31" spans="1:29" s="62" customFormat="1" x14ac:dyDescent="0.2">
      <c r="A31"/>
      <c r="B31" s="61" t="s">
        <v>94</v>
      </c>
      <c r="C31" s="42">
        <f t="shared" si="5"/>
        <v>57600</v>
      </c>
      <c r="D31" s="62">
        <f>Input_Agri_srajesh!$G$17*Projection_Agri_Srajesh!L6</f>
        <v>57600</v>
      </c>
    </row>
    <row r="32" spans="1:29" s="62" customFormat="1" x14ac:dyDescent="0.2">
      <c r="A32"/>
      <c r="B32" s="61" t="s">
        <v>99</v>
      </c>
      <c r="C32" s="42">
        <f t="shared" si="5"/>
        <v>899223.96835009078</v>
      </c>
      <c r="D32" s="62" t="str">
        <f>IF(D9="R",Input_Agri_srajesh!$G$18*Projection_Agri_Srajesh!D6*Projection_Agri_Srajesh!D10,"")</f>
        <v/>
      </c>
      <c r="E32" s="62" t="str">
        <f>IF(E9="R",Input_Agri_srajesh!$G$18*Projection_Agri_Srajesh!E6*Projection_Agri_Srajesh!E10,"")</f>
        <v/>
      </c>
      <c r="F32" s="62" t="str">
        <f>IF(F9="R",Input_Agri_srajesh!$G$18*Projection_Agri_Srajesh!F6*Projection_Agri_Srajesh!F10,"")</f>
        <v/>
      </c>
      <c r="G32" s="62" t="str">
        <f>IF(G9="R",Input_Agri_srajesh!$G$18*Projection_Agri_Srajesh!G6*Projection_Agri_Srajesh!G10,"")</f>
        <v/>
      </c>
      <c r="H32" s="62">
        <f>IF(H9="R",Input_Agri_srajesh!$G$18*Projection_Agri_Srajesh!H6*Projection_Agri_Srajesh!H10,"")</f>
        <v>15242.448375000004</v>
      </c>
      <c r="I32" s="62" t="str">
        <f>IF(I9="R",Input_Agri_srajesh!$G$18*Projection_Agri_Srajesh!I6*Projection_Agri_Srajesh!I10,"")</f>
        <v/>
      </c>
      <c r="J32" s="62">
        <f>IF(J9="R",Input_Agri_srajesh!$G$18*Projection_Agri_Srajesh!J6*Projection_Agri_Srajesh!J10,"")</f>
        <v>32162.295375000009</v>
      </c>
      <c r="K32" s="62" t="str">
        <f>IF(K9="R",Input_Agri_srajesh!$G$18*Projection_Agri_Srajesh!K6*Projection_Agri_Srajesh!K10,"")</f>
        <v/>
      </c>
      <c r="L32" s="62">
        <f>IF(L9="R",Input_Agri_srajesh!$G$18*Projection_Agri_Srajesh!L6*Projection_Agri_Srajesh!L10,"")</f>
        <v>53188.395976406267</v>
      </c>
      <c r="M32" s="62" t="str">
        <f>IF(M9="R",Input_Agri_srajesh!$G$18*Projection_Agri_Srajesh!M6*Projection_Agri_Srajesh!M10,"")</f>
        <v/>
      </c>
      <c r="N32" s="62">
        <f>IF(N9="R",Input_Agri_srajesh!$G$18*Projection_Agri_Srajesh!N6*Projection_Agri_Srajesh!N10,"")</f>
        <v>58640.206563987915</v>
      </c>
      <c r="O32" s="62" t="str">
        <f>IF(O9="R",Input_Agri_srajesh!$G$18*Projection_Agri_Srajesh!O6*Projection_Agri_Srajesh!O10,"")</f>
        <v/>
      </c>
      <c r="P32" s="62">
        <f>IF(P9="R",Input_Agri_srajesh!$G$18*Projection_Agri_Srajesh!P6*Projection_Agri_Srajesh!P10,"")</f>
        <v>64650.82773679668</v>
      </c>
      <c r="Q32" s="62" t="str">
        <f>IF(Q9="R",Input_Agri_srajesh!$G$18*Projection_Agri_Srajesh!Q6*Projection_Agri_Srajesh!Q10,"")</f>
        <v/>
      </c>
      <c r="R32" s="62">
        <f>IF(R9="R",Input_Agri_srajesh!$G$18*Projection_Agri_Srajesh!R6*Projection_Agri_Srajesh!R10,"")</f>
        <v>71277.537579818352</v>
      </c>
      <c r="S32" s="62" t="str">
        <f>IF(S9="R",Input_Agri_srajesh!$G$18*Projection_Agri_Srajesh!S6*Projection_Agri_Srajesh!S10,"")</f>
        <v/>
      </c>
      <c r="T32" s="62">
        <f>IF(T9="R",Input_Agri_srajesh!$G$18*Projection_Agri_Srajesh!T6*Projection_Agri_Srajesh!T10,"")</f>
        <v>78583.48518174974</v>
      </c>
      <c r="U32" s="62" t="str">
        <f>IF(U9="R",Input_Agri_srajesh!$G$18*Projection_Agri_Srajesh!U6*Projection_Agri_Srajesh!U10,"")</f>
        <v/>
      </c>
      <c r="V32" s="62">
        <f>IF(V9="R",Input_Agri_srajesh!$G$18*Projection_Agri_Srajesh!V6*Projection_Agri_Srajesh!V10,"")</f>
        <v>86638.292412879106</v>
      </c>
      <c r="W32" s="62" t="str">
        <f>IF(W9="R",Input_Agri_srajesh!$G$18*Projection_Agri_Srajesh!W6*Projection_Agri_Srajesh!W10,"")</f>
        <v/>
      </c>
      <c r="X32" s="62">
        <f>IF(X9="R",Input_Agri_srajesh!$G$18*Projection_Agri_Srajesh!X6*Projection_Agri_Srajesh!X10,"")</f>
        <v>95518.717385199212</v>
      </c>
      <c r="Y32" s="62" t="str">
        <f>IF(Y9="R",Input_Agri_srajesh!$G$18*Projection_Agri_Srajesh!Y6*Projection_Agri_Srajesh!Y10,"")</f>
        <v/>
      </c>
      <c r="Z32" s="62">
        <f>IF(Z9="R",Input_Agri_srajesh!$G$18*Projection_Agri_Srajesh!Z6*Projection_Agri_Srajesh!Z10,"")</f>
        <v>105309.38591718215</v>
      </c>
      <c r="AA32" s="62" t="str">
        <f>IF(AA9="R",Input_Agri_srajesh!$G$18*Projection_Agri_Srajesh!AA6*Projection_Agri_Srajesh!AA10,"")</f>
        <v/>
      </c>
      <c r="AB32" s="62">
        <f>IF(AB9="R",Input_Agri_srajesh!$G$18*Projection_Agri_Srajesh!AB6*Projection_Agri_Srajesh!AB10,"")</f>
        <v>116103.59797369334</v>
      </c>
      <c r="AC32" s="62">
        <f>IF(AC9="R",Input_Agri_srajesh!$G$18*Projection_Agri_Srajesh!AC6*Projection_Agri_Srajesh!AC10,"")</f>
        <v>121908.77787237801</v>
      </c>
    </row>
    <row r="33" spans="1:29" s="62" customFormat="1" x14ac:dyDescent="0.2">
      <c r="A33" t="s">
        <v>185</v>
      </c>
      <c r="B33" s="61" t="s">
        <v>104</v>
      </c>
      <c r="C33" s="42">
        <f t="shared" si="5"/>
        <v>19500</v>
      </c>
      <c r="D33" s="62">
        <f>Input_Agri_srajesh!$G$19</f>
        <v>750</v>
      </c>
      <c r="E33" s="62">
        <f>Input_Agri_srajesh!$G$19</f>
        <v>750</v>
      </c>
      <c r="F33" s="62">
        <f>Input_Agri_srajesh!$G$19</f>
        <v>750</v>
      </c>
      <c r="G33" s="62">
        <f>Input_Agri_srajesh!$G$19</f>
        <v>750</v>
      </c>
      <c r="H33" s="62">
        <f>Input_Agri_srajesh!$G$19</f>
        <v>750</v>
      </c>
      <c r="I33" s="62">
        <f>Input_Agri_srajesh!$G$19</f>
        <v>750</v>
      </c>
      <c r="J33" s="62">
        <f>Input_Agri_srajesh!$G$19</f>
        <v>750</v>
      </c>
      <c r="K33" s="62">
        <f>Input_Agri_srajesh!$G$19</f>
        <v>750</v>
      </c>
      <c r="L33" s="62">
        <f>Input_Agri_srajesh!$G$19</f>
        <v>750</v>
      </c>
      <c r="M33" s="62">
        <f>Input_Agri_srajesh!$G$19</f>
        <v>750</v>
      </c>
      <c r="N33" s="62">
        <f>Input_Agri_srajesh!$G$19</f>
        <v>750</v>
      </c>
      <c r="O33" s="62">
        <f>Input_Agri_srajesh!$G$19</f>
        <v>750</v>
      </c>
      <c r="P33" s="62">
        <f>Input_Agri_srajesh!$G$19</f>
        <v>750</v>
      </c>
      <c r="Q33" s="62">
        <f>Input_Agri_srajesh!$G$19</f>
        <v>750</v>
      </c>
      <c r="R33" s="62">
        <f>Input_Agri_srajesh!$G$19</f>
        <v>750</v>
      </c>
      <c r="S33" s="62">
        <f>Input_Agri_srajesh!$G$19</f>
        <v>750</v>
      </c>
      <c r="T33" s="62">
        <f>Input_Agri_srajesh!$G$19</f>
        <v>750</v>
      </c>
      <c r="U33" s="62">
        <f>Input_Agri_srajesh!$G$19</f>
        <v>750</v>
      </c>
      <c r="V33" s="62">
        <f>Input_Agri_srajesh!$G$19</f>
        <v>750</v>
      </c>
      <c r="W33" s="62">
        <f>Input_Agri_srajesh!$G$19</f>
        <v>750</v>
      </c>
      <c r="X33" s="62">
        <f>Input_Agri_srajesh!$G$19</f>
        <v>750</v>
      </c>
      <c r="Y33" s="62">
        <f>Input_Agri_srajesh!$G$19</f>
        <v>750</v>
      </c>
      <c r="Z33" s="62">
        <f>Input_Agri_srajesh!$G$19</f>
        <v>750</v>
      </c>
      <c r="AA33" s="62">
        <f>Input_Agri_srajesh!$G$19</f>
        <v>750</v>
      </c>
      <c r="AB33" s="62">
        <f>Input_Agri_srajesh!$G$19</f>
        <v>750</v>
      </c>
      <c r="AC33" s="62">
        <f>Input_Agri_srajesh!$G$19</f>
        <v>750</v>
      </c>
    </row>
    <row r="34" spans="1:29" s="62" customFormat="1" x14ac:dyDescent="0.2">
      <c r="A34"/>
      <c r="B34" s="61" t="s">
        <v>110</v>
      </c>
      <c r="C34" s="42">
        <f t="shared" si="5"/>
        <v>1500</v>
      </c>
      <c r="D34" s="62">
        <f>Input_Agri_srajesh!G20</f>
        <v>1500</v>
      </c>
    </row>
    <row r="35" spans="1:29" s="62" customFormat="1" x14ac:dyDescent="0.2">
      <c r="A35"/>
      <c r="B35" s="61" t="s">
        <v>112</v>
      </c>
      <c r="C35" s="42">
        <f t="shared" si="5"/>
        <v>60000</v>
      </c>
      <c r="D35" s="62" t="str">
        <f>IF(D$9="R",Input_Agri_srajesh!$G$21,"")</f>
        <v/>
      </c>
      <c r="E35" s="62" t="str">
        <f>IF(E$9="R",Input_Agri_srajesh!$G$21,"")</f>
        <v/>
      </c>
      <c r="F35" s="62" t="str">
        <f>IF(F$9="R",Input_Agri_srajesh!$G$21,"")</f>
        <v/>
      </c>
      <c r="G35" s="62" t="str">
        <f>IF(G$9="R",Input_Agri_srajesh!$G$21,"")</f>
        <v/>
      </c>
      <c r="H35" s="62">
        <f>IF(H$9="R",Input_Agri_srajesh!$G$21,"")</f>
        <v>5000</v>
      </c>
      <c r="I35" s="62" t="str">
        <f>IF(I$9="R",Input_Agri_srajesh!$G$21,"")</f>
        <v/>
      </c>
      <c r="J35" s="62">
        <f>IF(J$9="R",Input_Agri_srajesh!$G$21,"")</f>
        <v>5000</v>
      </c>
      <c r="K35" s="62" t="str">
        <f>IF(K$9="R",Input_Agri_srajesh!$G$21,"")</f>
        <v/>
      </c>
      <c r="L35" s="62">
        <f>IF(L$9="R",Input_Agri_srajesh!$G$21,"")</f>
        <v>5000</v>
      </c>
      <c r="M35" s="62" t="str">
        <f>IF(M$9="R",Input_Agri_srajesh!$G$21,"")</f>
        <v/>
      </c>
      <c r="N35" s="62">
        <f>IF(N$9="R",Input_Agri_srajesh!$G$21,"")</f>
        <v>5000</v>
      </c>
      <c r="O35" s="62" t="str">
        <f>IF(O$9="R",Input_Agri_srajesh!$G$21,"")</f>
        <v/>
      </c>
      <c r="P35" s="62">
        <f>IF(P$9="R",Input_Agri_srajesh!$G$21,"")</f>
        <v>5000</v>
      </c>
      <c r="Q35" s="62" t="str">
        <f>IF(Q$9="R",Input_Agri_srajesh!$G$21,"")</f>
        <v/>
      </c>
      <c r="R35" s="62">
        <f>IF(R$9="R",Input_Agri_srajesh!$G$21,"")</f>
        <v>5000</v>
      </c>
      <c r="S35" s="62" t="str">
        <f>IF(S$9="R",Input_Agri_srajesh!$G$21,"")</f>
        <v/>
      </c>
      <c r="T35" s="62">
        <f>IF(T$9="R",Input_Agri_srajesh!$G$21,"")</f>
        <v>5000</v>
      </c>
      <c r="U35" s="62" t="str">
        <f>IF(U$9="R",Input_Agri_srajesh!$G$21,"")</f>
        <v/>
      </c>
      <c r="V35" s="62">
        <f>IF(V$9="R",Input_Agri_srajesh!$G$21,"")</f>
        <v>5000</v>
      </c>
      <c r="W35" s="62" t="str">
        <f>IF(W$9="R",Input_Agri_srajesh!$G$21,"")</f>
        <v/>
      </c>
      <c r="X35" s="62">
        <f>IF(X$9="R",Input_Agri_srajesh!$G$21,"")</f>
        <v>5000</v>
      </c>
      <c r="Y35" s="62" t="str">
        <f>IF(Y$9="R",Input_Agri_srajesh!$G$21,"")</f>
        <v/>
      </c>
      <c r="Z35" s="62">
        <f>IF(Z$9="R",Input_Agri_srajesh!$G$21,"")</f>
        <v>5000</v>
      </c>
      <c r="AA35" s="62" t="str">
        <f>IF(AA$9="R",Input_Agri_srajesh!$G$21,"")</f>
        <v/>
      </c>
      <c r="AB35" s="62">
        <f>IF(AB$9="R",Input_Agri_srajesh!$G$21,"")</f>
        <v>5000</v>
      </c>
      <c r="AC35" s="62">
        <f>IF(AC$9="R",Input_Agri_srajesh!$G$21,"")</f>
        <v>5000</v>
      </c>
    </row>
    <row r="36" spans="1:29" s="62" customFormat="1" x14ac:dyDescent="0.2">
      <c r="A36"/>
      <c r="B36" s="61" t="s">
        <v>115</v>
      </c>
      <c r="C36" s="42">
        <f t="shared" si="5"/>
        <v>3750</v>
      </c>
      <c r="D36" s="62">
        <f>Input_Agri_srajesh!G22</f>
        <v>3750</v>
      </c>
    </row>
    <row r="37" spans="1:29" s="62" customFormat="1" x14ac:dyDescent="0.2">
      <c r="A37"/>
      <c r="B37" s="61" t="s">
        <v>117</v>
      </c>
      <c r="C37" s="42">
        <f t="shared" si="5"/>
        <v>3107732.4</v>
      </c>
      <c r="D37"/>
      <c r="H37" s="62">
        <f>SUM(D49:H49)</f>
        <v>129664.80000000002</v>
      </c>
      <c r="J37" s="62">
        <f>SUM(I49:J49)</f>
        <v>171147.6</v>
      </c>
      <c r="L37" s="62">
        <f>SUM(K49:L49)</f>
        <v>273240</v>
      </c>
      <c r="N37" s="62">
        <f>SUM(M49:N49)</f>
        <v>298080</v>
      </c>
      <c r="P37" s="62">
        <f>SUM(O49:P49)</f>
        <v>298080</v>
      </c>
      <c r="R37" s="62">
        <f>SUM(Q49:R49)</f>
        <v>298080</v>
      </c>
      <c r="T37" s="62">
        <f>SUM(S49:T49)</f>
        <v>298080</v>
      </c>
      <c r="V37" s="62">
        <f>SUM(U49:V49)</f>
        <v>298080</v>
      </c>
      <c r="X37" s="62">
        <f>SUM(W49:X49)</f>
        <v>298080</v>
      </c>
      <c r="Z37" s="62">
        <f>SUM(Y49:Z49)</f>
        <v>298080</v>
      </c>
      <c r="AB37" s="62">
        <f>SUM(AA49:AB49)</f>
        <v>298080</v>
      </c>
      <c r="AC37" s="62">
        <f>SUM(AC49)</f>
        <v>149040</v>
      </c>
    </row>
    <row r="38" spans="1:29" s="62" customFormat="1" x14ac:dyDescent="0.2">
      <c r="A38" t="s">
        <v>186</v>
      </c>
      <c r="B38" s="61" t="s">
        <v>125</v>
      </c>
      <c r="C38" s="42">
        <f t="shared" si="5"/>
        <v>417033.33333333331</v>
      </c>
      <c r="D38" s="62">
        <f>Input_Agri_srajesh!$G$25*Projection_Agri_Srajesh!D5*D10</f>
        <v>1266.6666666666665</v>
      </c>
      <c r="E38" s="62">
        <f>Input_Agri_srajesh!$G$25*Projection_Agri_Srajesh!E5</f>
        <v>1900</v>
      </c>
      <c r="F38" s="62">
        <f>Input_Agri_srajesh!$G$25*Projection_Agri_Srajesh!F5</f>
        <v>2966.6666666666665</v>
      </c>
      <c r="G38" s="62">
        <f>Input_Agri_srajesh!$G$25*Projection_Agri_Srajesh!G5</f>
        <v>4300</v>
      </c>
      <c r="H38" s="62">
        <f>Input_Agri_srajesh!$G$25*Projection_Agri_Srajesh!H5</f>
        <v>6966.6666666666661</v>
      </c>
      <c r="I38" s="62">
        <f>Input_Agri_srajesh!$G$25*Projection_Agri_Srajesh!I5</f>
        <v>9633.3333333333321</v>
      </c>
      <c r="J38" s="62">
        <f>Input_Agri_srajesh!$G$25*Projection_Agri_Srajesh!J5</f>
        <v>13333.333333333332</v>
      </c>
      <c r="K38" s="62">
        <f>Input_Agri_srajesh!$G$25*Projection_Agri_Srajesh!K5</f>
        <v>16666.666666666664</v>
      </c>
      <c r="L38" s="62">
        <f>Input_Agri_srajesh!$G$25*Projection_Agri_Srajesh!L5</f>
        <v>20000</v>
      </c>
      <c r="M38" s="62">
        <f>Input_Agri_srajesh!$G$25*Projection_Agri_Srajesh!M5</f>
        <v>20000</v>
      </c>
      <c r="N38" s="62">
        <f>Input_Agri_srajesh!$G$25*Projection_Agri_Srajesh!N5</f>
        <v>20000</v>
      </c>
      <c r="O38" s="62">
        <f>Input_Agri_srajesh!$G$25*Projection_Agri_Srajesh!O5</f>
        <v>20000</v>
      </c>
      <c r="P38" s="62">
        <f>Input_Agri_srajesh!$G$25*Projection_Agri_Srajesh!P5</f>
        <v>20000</v>
      </c>
      <c r="Q38" s="62">
        <f>Input_Agri_srajesh!$G$25*Projection_Agri_Srajesh!Q5</f>
        <v>20000</v>
      </c>
      <c r="R38" s="62">
        <f>Input_Agri_srajesh!$G$25*Projection_Agri_Srajesh!R5</f>
        <v>20000</v>
      </c>
      <c r="S38" s="62">
        <f>Input_Agri_srajesh!$G$25*Projection_Agri_Srajesh!S5</f>
        <v>20000</v>
      </c>
      <c r="T38" s="62">
        <f>Input_Agri_srajesh!$G$25*Projection_Agri_Srajesh!T5</f>
        <v>20000</v>
      </c>
      <c r="U38" s="62">
        <f>Input_Agri_srajesh!$G$25*Projection_Agri_Srajesh!U5</f>
        <v>20000</v>
      </c>
      <c r="V38" s="62">
        <f>Input_Agri_srajesh!$G$25*Projection_Agri_Srajesh!V5</f>
        <v>20000</v>
      </c>
      <c r="W38" s="62">
        <f>Input_Agri_srajesh!$G$25*Projection_Agri_Srajesh!W5</f>
        <v>20000</v>
      </c>
      <c r="X38" s="62">
        <f>Input_Agri_srajesh!$G$25*Projection_Agri_Srajesh!X5</f>
        <v>20000</v>
      </c>
      <c r="Y38" s="62">
        <f>Input_Agri_srajesh!$G$25*Projection_Agri_Srajesh!Y5</f>
        <v>20000</v>
      </c>
      <c r="Z38" s="62">
        <f>Input_Agri_srajesh!$G$25*Projection_Agri_Srajesh!Z5</f>
        <v>20000</v>
      </c>
      <c r="AA38" s="62">
        <f>Input_Agri_srajesh!$G$25*Projection_Agri_Srajesh!AA5</f>
        <v>20000</v>
      </c>
      <c r="AB38" s="62">
        <f>Input_Agri_srajesh!$G$25*Projection_Agri_Srajesh!AB5</f>
        <v>20000</v>
      </c>
      <c r="AC38" s="62">
        <f>Input_Agri_srajesh!$G$25*Projection_Agri_Srajesh!AC5</f>
        <v>20000</v>
      </c>
    </row>
    <row r="39" spans="1:29" s="62" customFormat="1" x14ac:dyDescent="0.2">
      <c r="A39"/>
      <c r="B39" s="61" t="s">
        <v>128</v>
      </c>
      <c r="C39" s="42">
        <f t="shared" si="5"/>
        <v>28956146.880271092</v>
      </c>
      <c r="D39" s="62">
        <f>Input_Agri_srajesh!$F$26*D27</f>
        <v>40533.333333333343</v>
      </c>
      <c r="E39" s="62">
        <f>Input_Agri_srajesh!$F$26*E27</f>
        <v>63840</v>
      </c>
      <c r="F39" s="62">
        <f>Input_Agri_srajesh!$F$26*F27</f>
        <v>104664.00000000001</v>
      </c>
      <c r="G39" s="62">
        <f>Input_Agri_srajesh!$F$26*G27</f>
        <v>159289.20000000004</v>
      </c>
      <c r="H39" s="62">
        <f>Input_Agri_srajesh!$F$26*H27</f>
        <v>270976.86000000004</v>
      </c>
      <c r="I39" s="62">
        <f>Input_Agri_srajesh!$F$26*I27</f>
        <v>393435.06300000014</v>
      </c>
      <c r="J39" s="62">
        <f>Input_Agri_srajesh!$F$26*J27</f>
        <v>571774.14000000025</v>
      </c>
      <c r="K39" s="62">
        <f>Input_Agri_srajesh!$F$26*K27</f>
        <v>750453.55875000032</v>
      </c>
      <c r="L39" s="62">
        <f>Input_Agri_srajesh!$F$26*L27</f>
        <v>945571.48402500048</v>
      </c>
      <c r="M39" s="62">
        <f>Input_Agri_srajesh!$F$26*M27</f>
        <v>992850.05822625034</v>
      </c>
      <c r="N39" s="62">
        <f>Input_Agri_srajesh!$F$26*N27</f>
        <v>1042492.5611375629</v>
      </c>
      <c r="O39" s="62">
        <f>Input_Agri_srajesh!$F$26*O27</f>
        <v>1094617.1891944411</v>
      </c>
      <c r="P39" s="62">
        <f>Input_Agri_srajesh!$F$26*P27</f>
        <v>1149348.0486541633</v>
      </c>
      <c r="Q39" s="62">
        <f>Input_Agri_srajesh!$F$26*Q27</f>
        <v>1206815.4510868716</v>
      </c>
      <c r="R39" s="62">
        <f>Input_Agri_srajesh!$F$26*R27</f>
        <v>1267156.2236412151</v>
      </c>
      <c r="S39" s="62">
        <f>Input_Agri_srajesh!$F$26*S27</f>
        <v>1330514.0348232761</v>
      </c>
      <c r="T39" s="62">
        <f>Input_Agri_srajesh!$F$26*T27</f>
        <v>1397039.73656444</v>
      </c>
      <c r="U39" s="62">
        <f>Input_Agri_srajesh!$F$26*U27</f>
        <v>1466891.7233926621</v>
      </c>
      <c r="V39" s="62">
        <f>Input_Agri_srajesh!$F$26*V27</f>
        <v>1540236.3095622952</v>
      </c>
      <c r="W39" s="62">
        <f>Input_Agri_srajesh!$F$26*W27</f>
        <v>1617248.1250404101</v>
      </c>
      <c r="X39" s="62">
        <f>Input_Agri_srajesh!$F$26*X27</f>
        <v>1698110.5312924304</v>
      </c>
      <c r="Y39" s="62">
        <f>Input_Agri_srajesh!$F$26*Y27</f>
        <v>1783016.0578570524</v>
      </c>
      <c r="Z39" s="62">
        <f>Input_Agri_srajesh!$F$26*Z27</f>
        <v>1872166.860749905</v>
      </c>
      <c r="AA39" s="62">
        <f>Input_Agri_srajesh!$F$26*AA27</f>
        <v>1965775.2037874004</v>
      </c>
      <c r="AB39" s="62">
        <f>Input_Agri_srajesh!$F$26*AB27</f>
        <v>2064063.9639767704</v>
      </c>
      <c r="AC39" s="62">
        <f>Input_Agri_srajesh!$F$26*AC27</f>
        <v>2167267.1621756088</v>
      </c>
    </row>
    <row r="40" spans="1:29" s="62" customFormat="1" x14ac:dyDescent="0.2">
      <c r="A40"/>
      <c r="B40" s="61" t="s">
        <v>132</v>
      </c>
      <c r="C40" s="42">
        <f t="shared" si="5"/>
        <v>1447807.3440135543</v>
      </c>
      <c r="D40" s="62">
        <f>Input_Agri_srajesh!$F$27*D39</f>
        <v>2026.6666666666672</v>
      </c>
      <c r="E40" s="62">
        <f>Input_Agri_srajesh!$F$27*E39</f>
        <v>3192</v>
      </c>
      <c r="F40" s="62">
        <f>Input_Agri_srajesh!$F$27*F39</f>
        <v>5233.2000000000007</v>
      </c>
      <c r="G40" s="62">
        <f>Input_Agri_srajesh!$F$27*G39</f>
        <v>7964.4600000000028</v>
      </c>
      <c r="H40" s="62">
        <f>Input_Agri_srajesh!$F$27*H39</f>
        <v>13548.843000000003</v>
      </c>
      <c r="I40" s="62">
        <f>Input_Agri_srajesh!$F$27*I39</f>
        <v>19671.753150000008</v>
      </c>
      <c r="J40" s="62">
        <f>Input_Agri_srajesh!$F$27*J39</f>
        <v>28588.707000000013</v>
      </c>
      <c r="K40" s="62">
        <f>Input_Agri_srajesh!$F$27*K39</f>
        <v>37522.677937500019</v>
      </c>
      <c r="L40" s="62">
        <f>Input_Agri_srajesh!$F$27*L39</f>
        <v>47278.574201250027</v>
      </c>
      <c r="M40" s="62">
        <f>Input_Agri_srajesh!$F$27*M39</f>
        <v>49642.50291131252</v>
      </c>
      <c r="N40" s="62">
        <f>Input_Agri_srajesh!$F$27*N39</f>
        <v>52124.628056878144</v>
      </c>
      <c r="O40" s="62">
        <f>Input_Agri_srajesh!$F$27*O39</f>
        <v>54730.859459722058</v>
      </c>
      <c r="P40" s="62">
        <f>Input_Agri_srajesh!$F$27*P39</f>
        <v>57467.402432708164</v>
      </c>
      <c r="Q40" s="62">
        <f>Input_Agri_srajesh!$F$27*Q39</f>
        <v>60340.772554343581</v>
      </c>
      <c r="R40" s="62">
        <f>Input_Agri_srajesh!$F$27*R39</f>
        <v>63357.811182060759</v>
      </c>
      <c r="S40" s="62">
        <f>Input_Agri_srajesh!$F$27*S39</f>
        <v>66525.701741163808</v>
      </c>
      <c r="T40" s="62">
        <f>Input_Agri_srajesh!$F$27*T39</f>
        <v>69851.986828221998</v>
      </c>
      <c r="U40" s="62">
        <f>Input_Agri_srajesh!$F$27*U39</f>
        <v>73344.586169633112</v>
      </c>
      <c r="V40" s="62">
        <f>Input_Agri_srajesh!$F$27*V39</f>
        <v>77011.81547811476</v>
      </c>
      <c r="W40" s="62">
        <f>Input_Agri_srajesh!$F$27*W39</f>
        <v>80862.406252020504</v>
      </c>
      <c r="X40" s="62">
        <f>Input_Agri_srajesh!$F$27*X39</f>
        <v>84905.526564621527</v>
      </c>
      <c r="Y40" s="62">
        <f>Input_Agri_srajesh!$F$27*Y39</f>
        <v>89150.802892852633</v>
      </c>
      <c r="Z40" s="62">
        <f>Input_Agri_srajesh!$F$27*Z39</f>
        <v>93608.343037495259</v>
      </c>
      <c r="AA40" s="62">
        <f>Input_Agri_srajesh!$F$27*AA39</f>
        <v>98288.760189370019</v>
      </c>
      <c r="AB40" s="62">
        <f>Input_Agri_srajesh!$F$27*AB39</f>
        <v>103203.19819883852</v>
      </c>
      <c r="AC40" s="62">
        <f>Input_Agri_srajesh!$F$27*AC39</f>
        <v>108363.35810878045</v>
      </c>
    </row>
    <row r="41" spans="1:29" s="62" customFormat="1" ht="5.45" customHeight="1" x14ac:dyDescent="0.2">
      <c r="A41"/>
      <c r="B41" s="61"/>
      <c r="C41" s="61"/>
    </row>
    <row r="42" spans="1:29" s="62" customFormat="1" x14ac:dyDescent="0.2">
      <c r="A42"/>
      <c r="B42" s="61"/>
      <c r="C42" s="61"/>
    </row>
    <row r="43" spans="1:29" s="40" customFormat="1" x14ac:dyDescent="0.2">
      <c r="A43"/>
      <c r="B43" s="1"/>
      <c r="C43" s="1"/>
    </row>
    <row r="44" spans="1:29" s="40" customFormat="1" x14ac:dyDescent="0.2">
      <c r="A44"/>
      <c r="B44" s="1"/>
      <c r="C44" s="1"/>
    </row>
    <row r="45" spans="1:29" s="40" customFormat="1" x14ac:dyDescent="0.2">
      <c r="A45"/>
      <c r="B45" s="1"/>
      <c r="C45" s="1"/>
    </row>
    <row r="48" spans="1:29" ht="13.5" customHeight="1" x14ac:dyDescent="0.2"/>
    <row r="49" spans="2:29" hidden="1" x14ac:dyDescent="0.2">
      <c r="B49" s="61" t="s">
        <v>117</v>
      </c>
      <c r="C49" s="61"/>
      <c r="D49" s="42">
        <f>D6*Input_Agri_srajesh!$G$23</f>
        <v>9439.2000000000007</v>
      </c>
      <c r="E49" s="42">
        <f>E6*Input_Agri_srajesh!$G$23</f>
        <v>14158.800000000001</v>
      </c>
      <c r="F49" s="42">
        <f>F6*Input_Agri_srajesh!$G$23</f>
        <v>22107.600000000002</v>
      </c>
      <c r="G49" s="42">
        <f>G6*Input_Agri_srajesh!$G$23</f>
        <v>32043.600000000002</v>
      </c>
      <c r="H49" s="42">
        <f>H6*Input_Agri_srajesh!$G$23</f>
        <v>51915.600000000006</v>
      </c>
      <c r="I49" s="42">
        <f>I6*Input_Agri_srajesh!$G$23</f>
        <v>71787.600000000006</v>
      </c>
      <c r="J49" s="42">
        <f>J6*Input_Agri_srajesh!$G$23</f>
        <v>99360</v>
      </c>
      <c r="K49" s="42">
        <f>K6*Input_Agri_srajesh!$G$23</f>
        <v>124200</v>
      </c>
      <c r="L49" s="42">
        <f>L6*Input_Agri_srajesh!$G$23</f>
        <v>149040</v>
      </c>
      <c r="M49" s="42">
        <f>M6*Input_Agri_srajesh!$G$23</f>
        <v>149040</v>
      </c>
      <c r="N49" s="42">
        <f>N6*Input_Agri_srajesh!$G$23</f>
        <v>149040</v>
      </c>
      <c r="O49" s="42">
        <f>O6*Input_Agri_srajesh!$G$23</f>
        <v>149040</v>
      </c>
      <c r="P49" s="42">
        <f>P6*Input_Agri_srajesh!$G$23</f>
        <v>149040</v>
      </c>
      <c r="Q49" s="42">
        <f>Q6*Input_Agri_srajesh!$G$23</f>
        <v>149040</v>
      </c>
      <c r="R49" s="42">
        <f>R6*Input_Agri_srajesh!$G$23</f>
        <v>149040</v>
      </c>
      <c r="S49" s="42">
        <f>S6*Input_Agri_srajesh!$G$23</f>
        <v>149040</v>
      </c>
      <c r="T49" s="42">
        <f>T6*Input_Agri_srajesh!$G$23</f>
        <v>149040</v>
      </c>
      <c r="U49" s="42">
        <f>U6*Input_Agri_srajesh!$G$23</f>
        <v>149040</v>
      </c>
      <c r="V49" s="42">
        <f>V6*Input_Agri_srajesh!$G$23</f>
        <v>149040</v>
      </c>
      <c r="W49" s="42">
        <f>W6*Input_Agri_srajesh!$G$23</f>
        <v>149040</v>
      </c>
      <c r="X49" s="42">
        <f>X6*Input_Agri_srajesh!$G$23</f>
        <v>149040</v>
      </c>
      <c r="Y49" s="42">
        <f>Y6*Input_Agri_srajesh!$G$23</f>
        <v>149040</v>
      </c>
      <c r="Z49" s="42">
        <f>Z6*Input_Agri_srajesh!$G$23</f>
        <v>149040</v>
      </c>
      <c r="AA49" s="42">
        <f>AA6*Input_Agri_srajesh!$G$23</f>
        <v>149040</v>
      </c>
      <c r="AB49" s="42">
        <f>AB6*Input_Agri_srajesh!$G$23</f>
        <v>149040</v>
      </c>
      <c r="AC49" s="42">
        <f>AC6*Input_Agri_srajesh!$G$23</f>
        <v>149040</v>
      </c>
    </row>
  </sheetData>
  <phoneticPr fontId="13" type="noConversion"/>
  <pageMargins left="0.7" right="0.7" top="0.75" bottom="0.75" header="0.3" footer="0.3"/>
  <ignoredErrors>
    <ignoredError sqref="C2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Input_Agri_srajesh</vt:lpstr>
      <vt:lpstr>Projection_Agri_Srajesh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Kendra Schreiner</dc:creator>
  <cp:keywords/>
  <dc:description/>
  <cp:lastModifiedBy>Kendra Schreiner</cp:lastModifiedBy>
  <cp:revision/>
  <dcterms:created xsi:type="dcterms:W3CDTF">2026-03-04T13:45:06Z</dcterms:created>
  <dcterms:modified xsi:type="dcterms:W3CDTF">2026-03-23T13:43:37Z</dcterms:modified>
  <cp:category/>
  <cp:contentStatus/>
</cp:coreProperties>
</file>